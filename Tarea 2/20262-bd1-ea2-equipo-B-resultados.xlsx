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AS " sheetId="1" r:id="rId4"/>
    <sheet state="visible" name="1FN" sheetId="2" r:id="rId5"/>
    <sheet state="visible" name="2FN" sheetId="3" r:id="rId6"/>
    <sheet state="visible" name="3FN" sheetId="4" r:id="rId7"/>
    <sheet state="visible" name="DICCIONARIO DATOS (Genérico)" sheetId="5" r:id="rId8"/>
  </sheets>
  <definedNames/>
  <calcPr/>
  <extLst>
    <ext uri="GoogleSheetsCustomDataVersion2">
      <go:sheetsCustomData xmlns:go="http://customooxmlschemas.google.com/" r:id="rId9" roundtripDataChecksum="K+egB/DY4VyoESxDf42yZ61GM5ohnuUG1pE/eEf+ih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
      <text>
        <t xml:space="preserve">======
ID#AAAB0gM3x3A
JAIME ERNESTO SOTO URDANETA    (2026-02-19 02:57:54)
Colcar el # de Tabla</t>
      </text>
    </comment>
  </commentList>
  <extLst>
    <ext uri="GoogleSheetsCustomDataVersion2">
      <go:sheetsCustomData xmlns:go="http://customooxmlschemas.google.com/" r:id="rId1" roundtripDataSignature="AMtx7mgcjuMjb8BGjxCHwiQL25E4prOhjg=="/>
    </ext>
  </extLst>
</comments>
</file>

<file path=xl/sharedStrings.xml><?xml version="1.0" encoding="utf-8"?>
<sst xmlns="http://schemas.openxmlformats.org/spreadsheetml/2006/main" count="1651" uniqueCount="269">
  <si>
    <t>PRIMERA FORMA NORMAL (1FN)</t>
  </si>
  <si>
    <t>Instrucciones</t>
  </si>
  <si>
    <r>
      <rPr>
        <rFont val="Calibri"/>
        <b/>
        <color rgb="FF000000"/>
        <sz val="14.0"/>
      </rPr>
      <t xml:space="preserve">1.- En esta sección se pueden renombrar las tablas considerando las buenas prácticas y nomenclatura sugeridas. </t>
    </r>
    <r>
      <rPr>
        <rFont val="Calibri"/>
        <b/>
        <color rgb="FF980000"/>
        <sz val="14.0"/>
      </rPr>
      <t>Nota</t>
    </r>
    <r>
      <rPr>
        <rFont val="Calibri"/>
        <b/>
        <color rgb="FF000000"/>
        <sz val="14.0"/>
      </rPr>
      <t xml:space="preserve">: Utilización obligatoria de </t>
    </r>
    <r>
      <rPr>
        <rFont val="Calibri"/>
        <b/>
        <i/>
        <color rgb="FF0000FF"/>
        <sz val="14.0"/>
      </rPr>
      <t>snake_case</t>
    </r>
    <r>
      <rPr>
        <rFont val="Calibri"/>
        <b/>
        <color rgb="FF000000"/>
        <sz val="14.0"/>
      </rPr>
      <t xml:space="preserve">, no debe colocar nombres muy largos o muy cortos.
2.- Presentar (como tablas) las entidades resultantes del Modelo Relacional
3.- Presentar (como tablas) las relaciones resultantes del Modelo Relacional. </t>
    </r>
    <r>
      <rPr>
        <rFont val="Calibri"/>
        <b/>
        <color rgb="FF980000"/>
        <sz val="14.0"/>
      </rPr>
      <t>Nota</t>
    </r>
    <r>
      <rPr>
        <rFont val="Calibri"/>
        <b/>
        <color rgb="FF000000"/>
        <sz val="14.0"/>
      </rPr>
      <t>: Recuerde que solamente debe colocar las relaciones NO DESCARTADAS
4.- Colocar en la columna "Orígen" si la tabla es derivada de una Entidad o una Relación
5.- En las observaciones podría informar sobre claves primarias y foráneas.</t>
    </r>
  </si>
  <si>
    <t>ENTIDADES</t>
  </si>
  <si>
    <t>TERCERA FORMA NORMAL (3FN)</t>
  </si>
  <si>
    <t>#</t>
  </si>
  <si>
    <t>Pasos</t>
  </si>
  <si>
    <t>Tabla</t>
  </si>
  <si>
    <t>Descripción Tabla</t>
  </si>
  <si>
    <t>Origen
Entidad o Relación</t>
  </si>
  <si>
    <t>Descripción de las acciones para llegar a 1FN</t>
  </si>
  <si>
    <t>Observaciones</t>
  </si>
  <si>
    <t>Descripción de las acciones para llegar de 2FN a 3FN</t>
  </si>
  <si>
    <t xml:space="preserve">usuario </t>
  </si>
  <si>
    <t>Se refiere a los usuarios del sistema de información de la Red Pascualina. Un usuario debe tener asociado un tipo de usuario. NOTA IMPORTANTE: además de tener un tipo de usuario, debe tener un rol dentro de la Red.</t>
  </si>
  <si>
    <t xml:space="preserve">Entidad </t>
  </si>
  <si>
    <t>Tras el análisis realizado sobre las entidades y relaciones del modelo, se concluye que todas las tablas cumplen con la Tercera Forma Normal (3FN), ya que los atributos definidos son atómicos, las claves primarias garantizan la dependencia total de los campos, y las claves foráneas aseguran la correcta vinculación entre entidades sin generar redundancias ni dependencias transitivas. De esta manera, el diseño obtenido mantiene la integridad de los datos y ofrece una estructura óptima para la gestión de la información.</t>
  </si>
  <si>
    <t xml:space="preserve">PK = id_usuario; FK = id_tipo_usuario, id_rol; </t>
  </si>
  <si>
    <t>Al revisar todas las tablas del modelo se evidenció que cada una cuenta con claves foráneas (FK) que permiten establecer las relaciones con otras entidades de manera precisa. Además, los atributos definidos son atómicos, es decir, no existen campos multivaluados ni repetitivos. Por esta razón, todas las tablas ya cumplen con los criterios de la Primera Forma Normal (1FN), garantizando que la información se almacene de forma ordenada, sin redundancias y con integridad referencial.</t>
  </si>
  <si>
    <t>SEGUNDA FORMA NORMAL (2FN)</t>
  </si>
  <si>
    <t>Tablas resultantes</t>
  </si>
  <si>
    <t xml:space="preserve">rol </t>
  </si>
  <si>
    <t>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t>
  </si>
  <si>
    <t>PK = id_rol</t>
  </si>
  <si>
    <t>tipo_usuario</t>
  </si>
  <si>
    <t>Estos son potenciales tipos de usuario: estudiante, docente, empleado, empresario, invitado, público en general, entre otros. Sirve para clasificación y estadística. Los ingresa el Usuario con Rol de Administrador.</t>
  </si>
  <si>
    <t>PK = id_tipo_usuario</t>
  </si>
  <si>
    <t xml:space="preserve">perfil </t>
  </si>
  <si>
    <t>Compartir su área de estudio, intereses, habilidades en diferentes disciplinas o deportes, etc. Estos perfiles permiten conectar con compañeros para encontrar y seguir a otros estudiantes con intereses y/o actividades similares.</t>
  </si>
  <si>
    <t>PK = id_perfil</t>
  </si>
  <si>
    <t xml:space="preserve">publicacion </t>
  </si>
  <si>
    <t>Compartir preguntas sobre tareas, recursos útiles, noticias de la industria tecnológica o incluso memes relevantes para la vida universitaria, entre otros. Las ingresa el usuario participante.</t>
  </si>
  <si>
    <t xml:space="preserve">PK = id_publicacion; FK = id_usuario </t>
  </si>
  <si>
    <t xml:space="preserve">comentario </t>
  </si>
  <si>
    <t>Comentarios que se hacen a las publicaciones. Ejemplo: un estudiante publica una nota sobre la participación de Colombia en el Mundial de Fútbol; otros usuarios pueden comentar esta publicación</t>
  </si>
  <si>
    <t>Descripción de las acciones para llegar de 1FN a 2FN</t>
  </si>
  <si>
    <t>PK = id_comentario; FK = id_usuario, id_publicacion</t>
  </si>
  <si>
    <t xml:space="preserve">grupo </t>
  </si>
  <si>
    <t>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t>
  </si>
  <si>
    <t>PK = id_grupo; FK = id_perfil</t>
  </si>
  <si>
    <t>servicio</t>
  </si>
  <si>
    <t>Los servicios los ofrece un usuario. Debe tener asociado un “Tipo de Servicio” con su descripción y precio (duración y ubicación si aplica). Los ingresa el usuario participante.</t>
  </si>
  <si>
    <t>PK = id_servicio; FK = id_usuario, id_tipo_servicio</t>
  </si>
  <si>
    <t>Identificar las claves primarias compuestas y los atributos que no son clave.</t>
  </si>
  <si>
    <t>tipo_servicio</t>
  </si>
  <si>
    <t>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t>
  </si>
  <si>
    <t>PK = id_tipo_servicio</t>
  </si>
  <si>
    <t>producto</t>
  </si>
  <si>
    <t>Detectar las tependencias parciales y separar esos atributos en una nueva tabla junto con la parte de la clave de la que dependen.</t>
  </si>
  <si>
    <t>Los usuarios pueden postear productos para la venta y otros usuarios pueden comprar. El producto debe tener asociado un “Tipo de Producto”. Sigue el mismo formato de los servicios y tipos de servicio. Los ingresa el usuario participante.</t>
  </si>
  <si>
    <t>PK = id_producto; FK = id_usuario, id_tipo_producto</t>
  </si>
  <si>
    <t>tipo_producto</t>
  </si>
  <si>
    <t xml:space="preserve">Libros, motocicleta, ropa, ticket para concierto, entre otros. Sirve para clasificación y estadística. Sirve para clasificación y estadística. Los ingresa el Usuario con Rol de Administrador. </t>
  </si>
  <si>
    <t>PK = id_tipo_producto</t>
  </si>
  <si>
    <t>evento</t>
  </si>
  <si>
    <t>Dejar en la tabla original únicamente los atributos que dependan de toda la clave primaria.</t>
  </si>
  <si>
    <t>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t>
  </si>
  <si>
    <t>PK = id_evento; FK = id_usuario, id_tipo_evento</t>
  </si>
  <si>
    <t>tipo_evento</t>
  </si>
  <si>
    <t>Al igual que los anteriores casos de servicio y productos, se cumple lo mismo. El usuario Administrador ingresa los tipos de evento. Sirve para clasificación y estadística. Los ingresa el Usuario con Rol de Administrador</t>
  </si>
  <si>
    <t>PK = id_tipo_evento</t>
  </si>
  <si>
    <t>notificacion</t>
  </si>
  <si>
    <t>Permite avisar a los usuarios sobre nuevas publicaciones, comentarios, eventos o servicios.</t>
  </si>
  <si>
    <t>PK = id_notificacion; FK = id_usuario</t>
  </si>
  <si>
    <t>Establecer una FK en la tabla original que apunte a la nueva tabla</t>
  </si>
  <si>
    <t>reaccion</t>
  </si>
  <si>
    <t>Registra interacciones rápidas como “me gusta”, “me encanta”, “me sorprende” en publicaciones o comentarios.</t>
  </si>
  <si>
    <t>PK = id_reaccion; FK = id_usuario, id_publicacion, id_ comentario</t>
  </si>
  <si>
    <t>mensaje_privado</t>
  </si>
  <si>
    <t>Comunicación directa entre dos usuarios dentro de la red.</t>
  </si>
  <si>
    <t>PK = id_mensaje; FK = id_emisor, id_receptor</t>
  </si>
  <si>
    <t>Atributo</t>
  </si>
  <si>
    <t>Descripción Atributo</t>
  </si>
  <si>
    <t>amistad</t>
  </si>
  <si>
    <t>Representa las conexiones entre usuarios (seguimiento o amistad).</t>
  </si>
  <si>
    <t>PK = id_amistad; FK = id_usuario1, id_usuario2</t>
  </si>
  <si>
    <t>Versión</t>
  </si>
  <si>
    <t>Claves</t>
  </si>
  <si>
    <t>historial_actividad</t>
  </si>
  <si>
    <t>Guarda las acciones realizadas por cada usuario (publicar, comentar, unirse a grupo, etc.).</t>
  </si>
  <si>
    <t>PK = id_historial; FK = id_usuario</t>
  </si>
  <si>
    <t>id_usuario</t>
  </si>
  <si>
    <t>usuario_grupo</t>
  </si>
  <si>
    <t>Un usuario pertenece a uno o varios grupos.</t>
  </si>
  <si>
    <t xml:space="preserve">Relacion </t>
  </si>
  <si>
    <t>PK = id_usuario_grupo; FK = id_usuario, id_grupo; campos: fecha_union, rol_grupo</t>
  </si>
  <si>
    <t>El usuario posee un documento de identificación único que permite identificarlo de manera individual dentro del sistema. Este puede corresponder a una cédula de ciudadanía, tarjeta de identidad, pasaporte u otro documento de identificación válido. El número asociado a este documento es único para cada usuario y no puede ser compartido por otra persona.</t>
  </si>
  <si>
    <t>evento_usuarios</t>
  </si>
  <si>
    <t>Un usuario participa en eventos organizados por otros.</t>
  </si>
  <si>
    <t>PK = id_evento_usuario; FK = id_evento, id_usuario; campos: fecha_inscripcion, asistencia</t>
  </si>
  <si>
    <t>usuario_reaccion</t>
  </si>
  <si>
    <t>Un usuario reacciona a publicaciones o comentarios.</t>
  </si>
  <si>
    <t>PK = id_usuario_reaccion; FK = id_usuario, id_reaccion; campos: fecha_reaccion</t>
  </si>
  <si>
    <t>usuario_amistad</t>
  </si>
  <si>
    <t>Un usuario establece amistad con otro usuario.</t>
  </si>
  <si>
    <t>PK = id_usuario_amistad; FK = id_usuario1, id_usuario2; campos: fecha_amistad, estado</t>
  </si>
  <si>
    <t>Descripción</t>
  </si>
  <si>
    <t>perfil_publicacion</t>
  </si>
  <si>
    <t>Un perfil contiene a una o varias publicaciones, y varios perfiles pueden contener la misma publicacion</t>
  </si>
  <si>
    <t>PK = id_perfil_publicacion; FK = id_perfil, id_publicacion; campos: fecha_publicacion</t>
  </si>
  <si>
    <t>Origen (Entidad o Relación)</t>
  </si>
  <si>
    <t>PK</t>
  </si>
  <si>
    <t>id_tipo_usuario</t>
  </si>
  <si>
    <t>Tipo de usuario que se le asigna a cada persona, ya sea estudiante, docente, empleado, empresario, invitado, público en general, entre otros.</t>
  </si>
  <si>
    <t>FK</t>
  </si>
  <si>
    <t>id_rol</t>
  </si>
  <si>
    <t>Rol específico que la persona tiene definido.</t>
  </si>
  <si>
    <t>correo</t>
  </si>
  <si>
    <t>Cada usuario cuenta con una dirección de correo electrónico única, la cual permite identificarlo dentro del sistema.</t>
  </si>
  <si>
    <t>UK</t>
  </si>
  <si>
    <t>nombre1</t>
  </si>
  <si>
    <t>Cada usuario posee un nombre que permite identificarlo y distinguirlo dentro de la red social.</t>
  </si>
  <si>
    <t>nombre2</t>
  </si>
  <si>
    <t>Espacio no obligatorio para segundo nombre.</t>
  </si>
  <si>
    <t>apellido1</t>
  </si>
  <si>
    <t>Espacio para primer apellido.</t>
  </si>
  <si>
    <t>apellido2</t>
  </si>
  <si>
    <t>Espacio no obligatorio para segundo apellido.</t>
  </si>
  <si>
    <t>N</t>
  </si>
  <si>
    <t>nombre_rol</t>
  </si>
  <si>
    <t>Nombre que identifica el rol dentro del sistema.</t>
  </si>
  <si>
    <t xml:space="preserve">Código que se le asigna a cada persona, ya sea estudiante, docente, empleado, empresario, invitado, público en general, entre otros y mediante el que se le identifica. </t>
  </si>
  <si>
    <t>nombre_tipo</t>
  </si>
  <si>
    <t>Nombre que identifica el tipo de usuario.</t>
  </si>
  <si>
    <t>id_perfil</t>
  </si>
  <si>
    <t xml:space="preserve">Identificador del perfil.
</t>
  </si>
  <si>
    <t xml:space="preserve">Puede seguir agregando tablas. Solamente tiene que copiar y pegar hacia abajo hasta que complete todas las tablas </t>
  </si>
  <si>
    <t>Usuario al que pertenece el perfil.</t>
  </si>
  <si>
    <t>descripcion</t>
  </si>
  <si>
    <t>Texto breve que es contenido por el perfil.</t>
  </si>
  <si>
    <t>id_publicacion</t>
  </si>
  <si>
    <t>Identificador de la publicación.</t>
  </si>
  <si>
    <t>Usuario que hace la publicación.</t>
  </si>
  <si>
    <t>contenido</t>
  </si>
  <si>
    <t>Texto de la publicación.</t>
  </si>
  <si>
    <t>fecha</t>
  </si>
  <si>
    <t>Fecha de publicación.</t>
  </si>
  <si>
    <t>id_comentario</t>
  </si>
  <si>
    <t>Identificador del comentario.</t>
  </si>
  <si>
    <t>Persona que realiza el comentario.</t>
  </si>
  <si>
    <t>Publicación en la cual está el comentario.</t>
  </si>
  <si>
    <t>Texto del comentario.</t>
  </si>
  <si>
    <t>fecha del comentario.</t>
  </si>
  <si>
    <t>id_grupo</t>
  </si>
  <si>
    <t>Identificador del grupo.</t>
  </si>
  <si>
    <t>Perfil del grupo, ya sea de estudio, investigación, etc.</t>
  </si>
  <si>
    <t>nombre_grupo</t>
  </si>
  <si>
    <t>Nombre del grupo.</t>
  </si>
  <si>
    <t>id_servicio</t>
  </si>
  <si>
    <t>Identificador del servicio.</t>
  </si>
  <si>
    <t>id_tipo_servicio</t>
  </si>
  <si>
    <t>Clasificación del servicio.</t>
  </si>
  <si>
    <t>Usuario que accede al servicio o que lo ofrece.</t>
  </si>
  <si>
    <t>precio</t>
  </si>
  <si>
    <t>Precio del servicio.</t>
  </si>
  <si>
    <t>Descripción del servicio que se ofrece o accede.</t>
  </si>
  <si>
    <t>Tipo de servicio.</t>
  </si>
  <si>
    <t>id_producto</t>
  </si>
  <si>
    <t>Identificador del producto.</t>
  </si>
  <si>
    <t>Usuario que ofrece el producto.</t>
  </si>
  <si>
    <t>id_tipo_producto</t>
  </si>
  <si>
    <t>Clasificación del producto.</t>
  </si>
  <si>
    <t>Descripción del producto.</t>
  </si>
  <si>
    <t>Precio del producto.</t>
  </si>
  <si>
    <t>DICCIONARIO DE DATOS</t>
  </si>
  <si>
    <t>Tipo de producto.</t>
  </si>
  <si>
    <t>Inventario de Tablas</t>
  </si>
  <si>
    <t>id_evento</t>
  </si>
  <si>
    <t>Identificador del evento.</t>
  </si>
  <si>
    <t>id_tipo_evento</t>
  </si>
  <si>
    <t>Clasificación del evento.</t>
  </si>
  <si>
    <t>Usuario el cual accede o organiza un evento.</t>
  </si>
  <si>
    <t>Texto del evento.</t>
  </si>
  <si>
    <t>Fecha del evento.</t>
  </si>
  <si>
    <t>Tipo de evento.</t>
  </si>
  <si>
    <t>id_notificacion</t>
  </si>
  <si>
    <t>Identificador de la notificacion.</t>
  </si>
  <si>
    <t>Usuario que recibe la notificación.</t>
  </si>
  <si>
    <t>mensaje</t>
  </si>
  <si>
    <t>Texto de la notificación.</t>
  </si>
  <si>
    <t>Fecha de la notificacion.</t>
  </si>
  <si>
    <t>id_reaccion</t>
  </si>
  <si>
    <t>Identificador de la reaccion.</t>
  </si>
  <si>
    <t>Usuario que manda la reacción.</t>
  </si>
  <si>
    <t>Publicación en la cual está la reacción.</t>
  </si>
  <si>
    <t>Comentario en el cual está la reacción.</t>
  </si>
  <si>
    <t>tipo_reaccion</t>
  </si>
  <si>
    <t>Tipo de reacción vinculada al catálogo</t>
  </si>
  <si>
    <t>id_mensaje</t>
  </si>
  <si>
    <t>Identifica de forma única cada mensaje en la tabla.</t>
  </si>
  <si>
    <t xml:space="preserve">Texto del mensaje </t>
  </si>
  <si>
    <t>Fecha del mensaje</t>
  </si>
  <si>
    <t>id_emisor</t>
  </si>
  <si>
    <t>Identifica al usuario que envía el mensaje.</t>
  </si>
  <si>
    <t>id_receptor</t>
  </si>
  <si>
    <t xml:space="preserve"> Identifica al usuario que recibe el mensaje.</t>
  </si>
  <si>
    <t>id_amistad</t>
  </si>
  <si>
    <t>Identifica la relación de amistad, usada para vincular dos usuarios.</t>
  </si>
  <si>
    <t>estado</t>
  </si>
  <si>
    <t>Estado de la amistad (pendiente, aceptada, bloqueada)</t>
  </si>
  <si>
    <t>id_usuario1</t>
  </si>
  <si>
    <t>Identifica al primer usuario dentro de la relación de amistad.</t>
  </si>
  <si>
    <t>id_usuario2</t>
  </si>
  <si>
    <t>Identifica al segundo usuario dentro de la relación de amistad.</t>
  </si>
  <si>
    <t>id_historial</t>
  </si>
  <si>
    <t>identifica de manera única cada relación de amistad registrada en el sistema.</t>
  </si>
  <si>
    <t>accion</t>
  </si>
  <si>
    <t>Acción realizada (publicar, comentar, etc.)</t>
  </si>
  <si>
    <t>Fecha de la acción</t>
  </si>
  <si>
    <t>Señala al usuario participante dentro de esa relación de amistad.</t>
  </si>
  <si>
    <t>id_usuario_grupo</t>
  </si>
  <si>
    <t>Identificador de la tabla.</t>
  </si>
  <si>
    <t>Usuario que pertenese al grupo.</t>
  </si>
  <si>
    <t>Grupo al que pertenecen los usuarios.</t>
  </si>
  <si>
    <t>fecha_union</t>
  </si>
  <si>
    <t>Fecha en la que el usuario se hizo parte del grupo.</t>
  </si>
  <si>
    <t>rol_grupo</t>
  </si>
  <si>
    <t>Permisos que tiene el usuario para intervenir dentro del grupo.</t>
  </si>
  <si>
    <t>id_evento_usuario</t>
  </si>
  <si>
    <t>Usuario que tiene la intencion de asistir.</t>
  </si>
  <si>
    <t>Evento al que le interesa asistir.</t>
  </si>
  <si>
    <t>fecha_inscripcion</t>
  </si>
  <si>
    <t>Fecha en la que el usuario confirmo su interes.</t>
  </si>
  <si>
    <t>asistencia</t>
  </si>
  <si>
    <t>Se utilizaria para saber si los usuarios lograron asistir, cuantos, ¿y por qué no lograron asistir?.</t>
  </si>
  <si>
    <t>preguntas_evento</t>
  </si>
  <si>
    <t>Panel en el que el usuarios dejan sus preguntas sobre el evento.</t>
  </si>
  <si>
    <t>id_usuario_reaccion</t>
  </si>
  <si>
    <t>Usuario el cual hizo la reaccion.</t>
  </si>
  <si>
    <t xml:space="preserve">Esta FK nos conecta con la tabla </t>
  </si>
  <si>
    <t>fecha_reaccion</t>
  </si>
  <si>
    <t>fecha de la reaccion</t>
  </si>
  <si>
    <t>id_usuario_amistad</t>
  </si>
  <si>
    <t>Identificacor de la tabla.</t>
  </si>
  <si>
    <t>Usuario que manda solicitud de amistad.</t>
  </si>
  <si>
    <t>Usuario que recibe solicitud la amistad.</t>
  </si>
  <si>
    <t>fecha_amistad</t>
  </si>
  <si>
    <t xml:space="preserve">Fecha en la que se registro la amistad </t>
  </si>
  <si>
    <t xml:space="preserve">Se evidencia si esta aceptada o pendiente </t>
  </si>
  <si>
    <t>Tablas en Detalle</t>
  </si>
  <si>
    <t>id_perfil_publicacion</t>
  </si>
  <si>
    <t xml:space="preserve">identificardor del usuario </t>
  </si>
  <si>
    <t xml:space="preserve">identificador de la publicacion </t>
  </si>
  <si>
    <t>fecha_publicacion</t>
  </si>
  <si>
    <t xml:space="preserve">La fecha en la que el usuario publica en su muro. </t>
  </si>
  <si>
    <t>Campo</t>
  </si>
  <si>
    <t>Descripción Campo</t>
  </si>
  <si>
    <t>Tipo Dato
(Genérico)</t>
  </si>
  <si>
    <t>id_tipo_reaccion</t>
  </si>
  <si>
    <t>identificador del tipo de reacción</t>
  </si>
  <si>
    <t>Tamaño / Longitud</t>
  </si>
  <si>
    <t>Nulo</t>
  </si>
  <si>
    <t>Tipo de reacción (me gusta, me encanta, etc).</t>
  </si>
  <si>
    <t>Nota/Comentarios</t>
  </si>
  <si>
    <t>AUTOINCREMENTABLE</t>
  </si>
  <si>
    <t>s</t>
  </si>
  <si>
    <t>ENTERO</t>
  </si>
  <si>
    <t>TEXTO_CORTO</t>
  </si>
  <si>
    <t>No</t>
  </si>
  <si>
    <t xml:space="preserve">NOTA: En las columnas PK, FK y UK debe colocar  “S”  solamente cuando aplique. En la columna “Nulo” coloque “No” en caso de que el campo debe estar valorizado
</t>
  </si>
  <si>
    <t>Tipo de reacción (me gusta, me encanta, etc.)</t>
  </si>
  <si>
    <t>TEXTO</t>
  </si>
  <si>
    <t>FECHA</t>
  </si>
  <si>
    <t xml:space="preserve">ENTERO </t>
  </si>
  <si>
    <t xml:space="preserve">Precio del servicio.			</t>
  </si>
  <si>
    <t>DECIMAL</t>
  </si>
  <si>
    <t xml:space="preserve">TEXTO </t>
  </si>
  <si>
    <t>S</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</si>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</sst>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18.0"/>
      <color rgb="FF000000"/>
      <name val="Calibri"/>
    </font>
    <font>
      <b/>
      <sz val="18.0"/>
      <color rgb="FFFFFFFF"/>
      <name val="Calibri"/>
    </font>
    <font>
      <b/>
      <sz val="23.0"/>
      <color rgb="FF980000"/>
      <name val="Calibri"/>
    </font>
    <font/>
    <font>
      <b/>
      <sz val="14.0"/>
      <color rgb="FF000000"/>
      <name val="Calibri"/>
    </font>
    <font>
      <b/>
      <sz val="16.0"/>
      <color rgb="FF000000"/>
      <name val="Calibri"/>
    </font>
    <font>
      <b/>
      <sz val="15.0"/>
      <color theme="1"/>
      <name val="Calibri"/>
    </font>
    <font>
      <b/>
      <sz val="13.0"/>
      <color rgb="FF000000"/>
      <name val="Calibri"/>
    </font>
    <font>
      <b/>
      <sz val="14.0"/>
      <color theme="1"/>
      <name val="Arial"/>
    </font>
    <font>
      <b/>
      <sz val="14.0"/>
      <color theme="1"/>
      <name val="Calibri"/>
    </font>
    <font>
      <b/>
      <sz val="12.0"/>
      <color theme="1"/>
      <name val="Arial"/>
    </font>
    <font>
      <b/>
      <sz val="13.0"/>
      <color theme="1"/>
      <name val="Arial"/>
    </font>
    <font>
      <b/>
      <sz val="14.0"/>
      <color rgb="FFFFFFFF"/>
      <name val="Calibri"/>
    </font>
    <font>
      <b/>
      <sz val="15.0"/>
      <color rgb="FFFFFFFF"/>
      <name val="Calibri"/>
    </font>
    <font>
      <sz val="10.0"/>
      <color theme="1"/>
      <name val="Arial"/>
    </font>
    <font>
      <b/>
      <sz val="14.0"/>
      <color rgb="FF0000FF"/>
      <name val="Calibri"/>
    </font>
    <font>
      <b/>
      <sz val="15.0"/>
      <color rgb="FF000000"/>
      <name val="Calibri"/>
    </font>
    <font>
      <b/>
      <sz val="15.0"/>
      <color theme="1"/>
      <name val="Arial"/>
    </font>
    <font>
      <sz val="14.0"/>
      <color rgb="FF000000"/>
      <name val="Calibri"/>
    </font>
    <font>
      <sz val="14.0"/>
      <color theme="1"/>
      <name val="Calibri"/>
    </font>
    <font>
      <b/>
      <sz val="12.0"/>
      <color rgb="FF000000"/>
      <name val="Calibri"/>
    </font>
    <font>
      <b/>
      <sz val="15.0"/>
      <color rgb="FF0000FF"/>
      <name val="Calibri"/>
    </font>
    <font>
      <b/>
      <sz val="16.0"/>
      <color rgb="FF0000FF"/>
      <name val="Arial"/>
    </font>
    <font>
      <b/>
      <sz val="19.0"/>
      <color rgb="FF0000FF"/>
      <name val="Arial"/>
    </font>
    <font>
      <b/>
      <sz val="10.0"/>
      <color theme="1"/>
      <name val="Arial"/>
    </font>
    <font>
      <b/>
      <sz val="9.0"/>
      <color rgb="FF000000"/>
      <name val="Calibri"/>
    </font>
    <font>
      <sz val="20.0"/>
      <color theme="1"/>
      <name val="Arial"/>
    </font>
    <font>
      <b/>
      <color theme="1"/>
      <name val="Arial"/>
      <scheme val="minor"/>
    </font>
    <font>
      <sz val="19.0"/>
      <color theme="1"/>
      <name val="Arial"/>
    </font>
    <font>
      <i/>
      <sz val="14.0"/>
      <color rgb="FF666666"/>
      <name val="Calibri"/>
    </font>
    <font>
      <sz val="17.0"/>
      <color theme="1"/>
      <name val="Arial"/>
    </font>
    <font>
      <color theme="1"/>
      <name val="Arial"/>
      <scheme val="minor"/>
    </font>
  </fonts>
  <fills count="11">
    <fill>
      <patternFill patternType="none"/>
    </fill>
    <fill>
      <patternFill patternType="lightGray"/>
    </fill>
    <fill>
      <patternFill patternType="solid">
        <fgColor rgb="FFC1F2F6"/>
        <bgColor rgb="FFC1F2F6"/>
      </patternFill>
    </fill>
    <fill>
      <patternFill patternType="solid">
        <fgColor rgb="FF4A86E8"/>
        <bgColor rgb="FF4A86E8"/>
      </patternFill>
    </fill>
    <fill>
      <patternFill patternType="solid">
        <fgColor rgb="FFFFFFFF"/>
        <bgColor rgb="FFFFFFFF"/>
      </patternFill>
    </fill>
    <fill>
      <patternFill patternType="solid">
        <fgColor rgb="FFD2EDEF"/>
        <bgColor rgb="FFD2EDEF"/>
      </patternFill>
    </fill>
    <fill>
      <patternFill patternType="solid">
        <fgColor rgb="FF1155CC"/>
        <bgColor rgb="FF1155CC"/>
      </patternFill>
    </fill>
    <fill>
      <patternFill patternType="solid">
        <fgColor rgb="FFFFF2CC"/>
        <bgColor rgb="FFFFF2CC"/>
      </patternFill>
    </fill>
    <fill>
      <patternFill patternType="solid">
        <fgColor rgb="FFCFE2F3"/>
        <bgColor rgb="FFCFE2F3"/>
      </patternFill>
    </fill>
    <fill>
      <patternFill patternType="solid">
        <fgColor rgb="FFC9DAF8"/>
        <bgColor rgb="FFC9DAF8"/>
      </patternFill>
    </fill>
    <fill>
      <patternFill patternType="solid">
        <fgColor rgb="FFE6B8AF"/>
        <bgColor rgb="FFE6B8AF"/>
      </patternFill>
    </fill>
  </fills>
  <borders count="26">
    <border/>
    <border>
      <left/>
      <right/>
      <top/>
      <bottom/>
    </border>
    <border>
      <left/>
      <top/>
      <bottom/>
    </border>
    <border>
      <left style="thin">
        <color rgb="FF000000"/>
      </left>
      <right style="thin">
        <color rgb="FF000000"/>
      </right>
      <top style="thin">
        <color rgb="FF000000"/>
      </top>
      <bottom style="thin">
        <color rgb="FF000000"/>
      </bottom>
    </border>
    <border>
      <top/>
      <bottom/>
    </border>
    <border>
      <left style="thin">
        <color rgb="FF000000"/>
      </left>
      <top style="thin">
        <color rgb="FF000000"/>
      </top>
      <bottom style="thin">
        <color rgb="FF000000"/>
      </bottom>
    </border>
    <border>
      <right/>
      <top/>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thick">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
      <top style="thick">
        <color rgb="FF000000"/>
      </top>
      <bottom style="thick">
        <color rgb="FF000000"/>
      </bottom>
    </border>
    <border>
      <right style="thin">
        <color rgb="FF000000"/>
      </righ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horizontal="center" vertical="center"/>
    </xf>
    <xf borderId="3" fillId="2" fontId="3" numFmtId="0" xfId="0" applyAlignment="1" applyBorder="1" applyFill="1" applyFont="1">
      <alignment horizontal="center" vertical="center"/>
    </xf>
    <xf borderId="4" fillId="0" fontId="4" numFmtId="0" xfId="0" applyBorder="1" applyFont="1"/>
    <xf borderId="5" fillId="4" fontId="5" numFmtId="0" xfId="0" applyAlignment="1" applyBorder="1" applyFill="1" applyFont="1">
      <alignment horizontal="left" shrinkToFit="0" vertical="center" wrapText="1"/>
    </xf>
    <xf borderId="6" fillId="0" fontId="4" numFmtId="0" xfId="0" applyBorder="1" applyFont="1"/>
    <xf borderId="7" fillId="0" fontId="4" numFmtId="0" xfId="0" applyBorder="1" applyFont="1"/>
    <xf borderId="8" fillId="0" fontId="4" numFmtId="0" xfId="0" applyBorder="1" applyFont="1"/>
    <xf borderId="1" fillId="4" fontId="1" numFmtId="0" xfId="0" applyAlignment="1" applyBorder="1" applyFill="1" applyFont="1">
      <alignment horizontal="center" vertical="center"/>
    </xf>
    <xf borderId="1" fillId="4" fontId="2" numFmtId="0" xfId="0" applyAlignment="1" applyBorder="1" applyFill="1" applyFont="1">
      <alignment horizontal="center" vertical="center"/>
    </xf>
    <xf borderId="3" fillId="2" fontId="6" numFmtId="0" xfId="0" applyAlignment="1" applyBorder="1" applyFill="1" applyFont="1">
      <alignment horizontal="center" shrinkToFit="0" vertical="center" wrapText="1"/>
    </xf>
    <xf borderId="3" fillId="5" fontId="7" numFmtId="0" xfId="0" applyAlignment="1" applyBorder="1" applyFill="1" applyFont="1">
      <alignment horizontal="center" vertical="center"/>
    </xf>
    <xf borderId="3" fillId="2" fontId="8" numFmtId="0" xfId="0" applyAlignment="1" applyBorder="1" applyFill="1" applyFont="1">
      <alignment horizontal="center" shrinkToFit="0" vertical="center" wrapText="1"/>
    </xf>
    <xf borderId="5" fillId="5" fontId="7" numFmtId="0" xfId="0" applyAlignment="1" applyBorder="1" applyFill="1" applyFont="1">
      <alignment horizontal="center" vertical="center"/>
    </xf>
    <xf borderId="3" fillId="0" fontId="9" numFmtId="0" xfId="0" applyAlignment="1" applyBorder="1" applyFont="1">
      <alignment horizontal="center" shrinkToFit="0" vertical="center" wrapText="1"/>
    </xf>
    <xf borderId="3" fillId="0" fontId="9" numFmtId="0" xfId="0" applyAlignment="1" applyBorder="1" applyFont="1">
      <alignment horizontal="left" vertical="center"/>
    </xf>
    <xf borderId="3" fillId="0" fontId="10" numFmtId="0" xfId="0" applyAlignment="1" applyBorder="1" applyFont="1">
      <alignment horizontal="center"/>
    </xf>
    <xf borderId="3" fillId="0" fontId="9" numFmtId="0" xfId="0" applyAlignment="1" applyBorder="1" applyFont="1">
      <alignment horizontal="left" shrinkToFit="0" vertical="center" wrapText="1"/>
    </xf>
    <xf borderId="1" fillId="4" fontId="7" numFmtId="0" xfId="0" applyAlignment="1" applyBorder="1" applyFill="1" applyFont="1">
      <alignment horizontal="center" vertical="center"/>
    </xf>
    <xf borderId="3" fillId="0" fontId="9" numFmtId="0" xfId="0" applyAlignment="1" applyBorder="1" applyFont="1">
      <alignment horizontal="left" readingOrder="0" shrinkToFit="0" vertical="center" wrapText="1"/>
    </xf>
    <xf borderId="9" fillId="0" fontId="11" numFmtId="0" xfId="0" applyAlignment="1" applyBorder="1" applyFont="1">
      <alignment readingOrder="0" shrinkToFit="0" wrapText="1"/>
    </xf>
    <xf borderId="10" fillId="0" fontId="4" numFmtId="0" xfId="0" applyBorder="1" applyFont="1"/>
    <xf borderId="11" fillId="0" fontId="4" numFmtId="0" xfId="0" applyBorder="1" applyFont="1"/>
    <xf borderId="3" fillId="0" fontId="10" numFmtId="0" xfId="0" applyAlignment="1" applyBorder="1" applyFont="1">
      <alignment horizontal="center" readingOrder="0"/>
    </xf>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9" fillId="0" fontId="12" numFmtId="0" xfId="0" applyAlignment="1" applyBorder="1" applyFont="1">
      <alignment readingOrder="0" shrinkToFit="0" wrapText="1"/>
    </xf>
    <xf borderId="2" fillId="3" fontId="13" numFmtId="0" xfId="0" applyAlignment="1" applyBorder="1" applyFill="1" applyFont="1">
      <alignment horizontal="center" vertical="center"/>
    </xf>
    <xf borderId="5" fillId="6" fontId="14" numFmtId="0" xfId="0" applyAlignment="1" applyBorder="1" applyFill="1" applyFont="1">
      <alignment horizontal="center" vertical="center"/>
    </xf>
    <xf borderId="1" fillId="4" fontId="15" numFmtId="0" xfId="0" applyAlignment="1" applyBorder="1" applyFill="1" applyFont="1">
      <alignment shrinkToFit="0" wrapText="1"/>
    </xf>
    <xf borderId="3" fillId="4" fontId="16" numFmtId="0" xfId="0" applyAlignment="1" applyBorder="1" applyFill="1" applyFont="1">
      <alignment horizontal="center" shrinkToFit="0" vertical="center" wrapText="1"/>
    </xf>
    <xf borderId="5" fillId="4" fontId="5" numFmtId="0" xfId="0" applyAlignment="1" applyBorder="1" applyFill="1" applyFont="1">
      <alignment horizontal="center" shrinkToFit="0" vertical="center" wrapText="1"/>
    </xf>
    <xf borderId="3" fillId="5" fontId="10" numFmtId="0" xfId="0" applyAlignment="1" applyBorder="1" applyFill="1" applyFont="1">
      <alignment horizontal="center" vertical="center"/>
    </xf>
    <xf borderId="5" fillId="4" fontId="10" numFmtId="0" xfId="0" applyAlignment="1" applyBorder="1" applyFill="1" applyFont="1">
      <alignment horizontal="center" shrinkToFit="0" vertical="center" wrapText="1"/>
    </xf>
    <xf borderId="5" fillId="5" fontId="10" numFmtId="0" xfId="0" applyAlignment="1" applyBorder="1" applyFill="1" applyFont="1">
      <alignment horizontal="center" vertical="center"/>
    </xf>
    <xf borderId="3" fillId="4" fontId="5" numFmtId="0" xfId="0" applyAlignment="1" applyBorder="1" applyFill="1" applyFont="1">
      <alignment horizontal="center" shrinkToFit="0" vertical="center" wrapText="1"/>
    </xf>
    <xf borderId="3" fillId="7" fontId="16" numFmtId="0" xfId="0" applyAlignment="1" applyBorder="1" applyFill="1" applyFont="1">
      <alignment horizontal="center" shrinkToFit="0" vertical="center" wrapText="1"/>
    </xf>
    <xf borderId="17" fillId="8" fontId="5" numFmtId="0" xfId="0" applyAlignment="1" applyBorder="1" applyFill="1" applyFont="1">
      <alignment horizontal="center" shrinkToFit="0" vertical="center" wrapText="1"/>
    </xf>
    <xf borderId="5" fillId="0" fontId="10" numFmtId="0" xfId="0" applyAlignment="1" applyBorder="1" applyFont="1">
      <alignment horizontal="center" readingOrder="0" shrinkToFit="0" wrapText="1"/>
    </xf>
    <xf borderId="3" fillId="0" fontId="9" numFmtId="0" xfId="0" applyAlignment="1" applyBorder="1" applyFont="1">
      <alignment horizontal="center" readingOrder="0" shrinkToFit="0" vertical="center" wrapText="1"/>
    </xf>
    <xf borderId="1" fillId="4" fontId="14" numFmtId="0" xfId="0" applyAlignment="1" applyBorder="1" applyFill="1" applyFont="1">
      <alignment horizontal="center" vertical="center"/>
    </xf>
    <xf borderId="1" fillId="4" fontId="15" numFmtId="0" xfId="0" applyBorder="1" applyFill="1" applyFont="1"/>
    <xf borderId="5" fillId="8" fontId="5" numFmtId="0" xfId="0" applyAlignment="1" applyBorder="1" applyFill="1" applyFont="1">
      <alignment horizontal="center" shrinkToFit="0" vertical="center" wrapText="1"/>
    </xf>
    <xf borderId="17" fillId="8" fontId="17" numFmtId="0" xfId="0" applyAlignment="1" applyBorder="1" applyFill="1" applyFont="1">
      <alignment horizontal="center" shrinkToFit="0" vertical="center" wrapText="1"/>
    </xf>
    <xf borderId="3" fillId="0" fontId="5" numFmtId="0" xfId="0" applyAlignment="1" applyBorder="1" applyFont="1">
      <alignment horizontal="center" readingOrder="0" shrinkToFit="0" vertical="center" wrapText="1"/>
    </xf>
    <xf borderId="3" fillId="8" fontId="5" numFmtId="0" xfId="0" applyAlignment="1" applyBorder="1" applyFill="1" applyFont="1">
      <alignment horizontal="center" shrinkToFit="0" vertical="center" wrapText="1"/>
    </xf>
    <xf borderId="5" fillId="4" fontId="18" numFmtId="0" xfId="0" applyAlignment="1" applyBorder="1" applyFill="1" applyFont="1">
      <alignment horizontal="center" shrinkToFit="0" vertical="center" wrapText="1"/>
    </xf>
    <xf borderId="5" fillId="6" fontId="13" numFmtId="0" xfId="0" applyAlignment="1" applyBorder="1" applyFill="1" applyFont="1">
      <alignment horizontal="center" vertical="center"/>
    </xf>
    <xf borderId="3" fillId="0" fontId="5" numFmtId="0" xfId="0" applyAlignment="1" applyBorder="1" applyFont="1">
      <alignment horizontal="center" shrinkToFit="0" vertical="center" wrapText="1"/>
    </xf>
    <xf borderId="5" fillId="8" fontId="17" numFmtId="0" xfId="0" applyAlignment="1" applyBorder="1" applyFill="1" applyFont="1">
      <alignment horizontal="center" shrinkToFit="0" vertical="center" wrapText="1"/>
    </xf>
    <xf borderId="3" fillId="4" fontId="10" numFmtId="0" xfId="0" applyAlignment="1" applyBorder="1" applyFill="1" applyFont="1">
      <alignment horizontal="center" readingOrder="0" shrinkToFit="0" vertical="center" wrapText="1"/>
    </xf>
    <xf borderId="0" fillId="0" fontId="19" numFmtId="0" xfId="0" applyAlignment="1" applyFont="1">
      <alignment readingOrder="0"/>
    </xf>
    <xf borderId="3" fillId="0" fontId="17" numFmtId="0" xfId="0" applyAlignment="1" applyBorder="1" applyFont="1">
      <alignment horizontal="center" shrinkToFit="0" vertical="center" wrapText="1"/>
    </xf>
    <xf borderId="7" fillId="4" fontId="10" numFmtId="0" xfId="0" applyAlignment="1" applyBorder="1" applyFill="1" applyFont="1">
      <alignment horizontal="center" shrinkToFit="0" vertical="center" wrapText="1"/>
    </xf>
    <xf borderId="1" fillId="4" fontId="17" numFmtId="0" xfId="0" applyAlignment="1" applyBorder="1" applyFill="1" applyFont="1">
      <alignment horizontal="center" shrinkToFit="0" vertical="center" wrapText="1"/>
    </xf>
    <xf borderId="8" fillId="4" fontId="10" numFmtId="0" xfId="0" applyAlignment="1" applyBorder="1" applyFill="1" applyFont="1">
      <alignment horizontal="center" shrinkToFit="0" vertical="center" wrapText="1"/>
    </xf>
    <xf borderId="3" fillId="0" fontId="9" numFmtId="0" xfId="0" applyAlignment="1" applyBorder="1" applyFont="1">
      <alignment horizontal="left" readingOrder="0" vertical="center"/>
    </xf>
    <xf borderId="9" fillId="4" fontId="20" numFmtId="0" xfId="0" applyAlignment="1" applyBorder="1" applyFill="1" applyFont="1">
      <alignment horizontal="center" readingOrder="0" shrinkToFit="0" vertical="center" wrapText="1"/>
    </xf>
    <xf borderId="15" fillId="0" fontId="19" numFmtId="0" xfId="0" applyAlignment="1" applyBorder="1" applyFont="1">
      <alignment readingOrder="0" shrinkToFit="0" wrapText="1"/>
    </xf>
    <xf borderId="3" fillId="8" fontId="21" numFmtId="0" xfId="0" applyAlignment="1" applyBorder="1" applyFill="1" applyFont="1">
      <alignment horizontal="center" shrinkToFit="0" vertical="center" wrapText="1"/>
    </xf>
    <xf borderId="15" fillId="0" fontId="19" numFmtId="0" xfId="0" applyAlignment="1" applyBorder="1" applyFont="1">
      <alignment readingOrder="0"/>
    </xf>
    <xf borderId="3" fillId="8" fontId="17" numFmtId="0" xfId="0" applyAlignment="1" applyBorder="1" applyFill="1" applyFont="1">
      <alignment horizontal="center" shrinkToFit="0" vertical="center" wrapText="1"/>
    </xf>
    <xf borderId="5" fillId="4" fontId="20" numFmtId="0" xfId="0" applyAlignment="1" applyBorder="1" applyFill="1" applyFont="1">
      <alignment horizontal="center" readingOrder="0" shrinkToFit="0" vertical="center" wrapText="1"/>
    </xf>
    <xf borderId="3" fillId="4" fontId="10" numFmtId="0" xfId="0" applyAlignment="1" applyBorder="1" applyFill="1" applyFont="1">
      <alignment horizontal="center" shrinkToFit="0" vertical="center" wrapText="1"/>
    </xf>
    <xf borderId="3" fillId="0" fontId="21" numFmtId="0" xfId="0" applyAlignment="1" applyBorder="1" applyFont="1">
      <alignment horizontal="center" shrinkToFit="0" vertical="center" wrapText="1"/>
    </xf>
    <xf borderId="3" fillId="4" fontId="15" numFmtId="0" xfId="0" applyAlignment="1" applyBorder="1" applyFill="1" applyFont="1">
      <alignment horizontal="left" shrinkToFit="0" vertical="center" wrapText="1"/>
    </xf>
    <xf borderId="5" fillId="4" fontId="20" numFmtId="0" xfId="0" applyAlignment="1" applyBorder="1" applyFill="1" applyFont="1">
      <alignment horizontal="center" readingOrder="0" shrinkToFit="0" vertical="center" wrapText="1"/>
    </xf>
    <xf borderId="5" fillId="4" fontId="15" numFmtId="0" xfId="0" applyAlignment="1" applyBorder="1" applyFill="1" applyFont="1">
      <alignment horizontal="left" shrinkToFit="0" vertical="center" wrapText="1"/>
    </xf>
    <xf borderId="5" fillId="4" fontId="16" numFmtId="0" xfId="0" applyAlignment="1" applyBorder="1" applyFill="1" applyFont="1">
      <alignment horizontal="center" shrinkToFit="0" vertical="center" wrapText="1"/>
    </xf>
    <xf borderId="1" fillId="4" fontId="15" numFmtId="0" xfId="0" applyAlignment="1" applyBorder="1" applyFill="1" applyFont="1">
      <alignment horizontal="left" shrinkToFit="0" vertical="center" wrapText="1"/>
    </xf>
    <xf borderId="3" fillId="4" fontId="11" numFmtId="0" xfId="0" applyAlignment="1" applyBorder="1" applyFill="1" applyFont="1">
      <alignment horizontal="left" shrinkToFit="0" vertical="center" wrapText="1"/>
    </xf>
    <xf borderId="0" fillId="0" fontId="19" numFmtId="0" xfId="0" applyAlignment="1" applyFont="1">
      <alignment readingOrder="0"/>
    </xf>
    <xf borderId="9" fillId="4" fontId="20" numFmtId="0" xfId="0" applyAlignment="1" applyBorder="1" applyFill="1" applyFont="1">
      <alignment horizontal="center" shrinkToFit="0" vertical="center" wrapText="1"/>
    </xf>
    <xf borderId="5" fillId="4" fontId="5" numFmtId="0" xfId="0" applyAlignment="1" applyBorder="1" applyFill="1" applyFont="1">
      <alignment horizontal="center" readingOrder="0" shrinkToFit="0" vertical="center" wrapText="1"/>
    </xf>
    <xf borderId="3" fillId="7" fontId="5" numFmtId="0" xfId="0" applyAlignment="1" applyBorder="1" applyFill="1" applyFont="1">
      <alignment horizontal="center" readingOrder="0" shrinkToFit="0" vertical="center" wrapText="1"/>
    </xf>
    <xf borderId="3" fillId="8" fontId="5" numFmtId="0" xfId="0" applyAlignment="1" applyBorder="1" applyFill="1" applyFont="1">
      <alignment horizontal="center" readingOrder="0" shrinkToFit="0" vertical="center" wrapText="1"/>
    </xf>
    <xf borderId="18" fillId="7" fontId="22" numFmtId="0" xfId="0" applyAlignment="1" applyBorder="1" applyFill="1" applyFont="1">
      <alignment horizontal="center" shrinkToFit="0" vertical="center" wrapText="1"/>
    </xf>
    <xf borderId="3" fillId="4" fontId="5" numFmtId="0" xfId="0" applyAlignment="1" applyBorder="1" applyFill="1" applyFont="1">
      <alignment horizontal="center" readingOrder="0" shrinkToFit="0" vertical="center" wrapText="1"/>
    </xf>
    <xf borderId="5" fillId="4" fontId="16" numFmtId="0" xfId="0" applyAlignment="1" applyBorder="1" applyFill="1" applyFont="1">
      <alignment horizontal="center" readingOrder="0" shrinkToFit="0" vertical="center" wrapText="1"/>
    </xf>
    <xf borderId="3" fillId="7" fontId="16" numFmtId="0" xfId="0" applyAlignment="1" applyBorder="1" applyFill="1" applyFont="1">
      <alignment horizontal="center" readingOrder="0" shrinkToFit="0" vertical="center" wrapText="1"/>
    </xf>
    <xf borderId="5" fillId="7" fontId="23" numFmtId="0" xfId="0" applyAlignment="1" applyBorder="1" applyFill="1" applyFont="1">
      <alignment horizontal="center" vertical="center"/>
    </xf>
    <xf borderId="0" fillId="0" fontId="24" numFmtId="0" xfId="0" applyAlignment="1" applyFont="1">
      <alignment horizontal="center" vertical="center"/>
    </xf>
    <xf borderId="5" fillId="4" fontId="20" numFmtId="0" xfId="0" applyAlignment="1" applyBorder="1" applyFill="1" applyFont="1">
      <alignment horizontal="left" readingOrder="0" shrinkToFit="0" vertical="center" wrapText="1"/>
    </xf>
    <xf borderId="5" fillId="4" fontId="20" numFmtId="0" xfId="0" applyAlignment="1" applyBorder="1" applyFill="1" applyFont="1">
      <alignment horizontal="left" readingOrder="0" shrinkToFit="0" vertical="center" wrapText="1"/>
    </xf>
    <xf borderId="15" fillId="0" fontId="19" numFmtId="0" xfId="0" applyAlignment="1" applyBorder="1" applyFont="1">
      <alignment horizontal="left" readingOrder="0" shrinkToFit="0" wrapText="1"/>
    </xf>
    <xf borderId="3" fillId="0" fontId="5" numFmtId="0" xfId="0" applyAlignment="1" applyBorder="1" applyFont="1">
      <alignment horizontal="center" readingOrder="0"/>
    </xf>
    <xf borderId="5" fillId="0" fontId="19" numFmtId="0" xfId="0" applyAlignment="1" applyBorder="1" applyFont="1">
      <alignment readingOrder="0" shrinkToFit="0" wrapText="1"/>
    </xf>
    <xf borderId="3" fillId="0" fontId="5" numFmtId="0" xfId="0" applyAlignment="1" applyBorder="1" applyFont="1">
      <alignment horizontal="center" readingOrder="0" shrinkToFit="0" wrapText="1"/>
    </xf>
    <xf borderId="2" fillId="9" fontId="1" numFmtId="0" xfId="0" applyAlignment="1" applyBorder="1" applyFill="1" applyFont="1">
      <alignment horizontal="center" vertical="center"/>
    </xf>
    <xf borderId="15" fillId="0" fontId="19" numFmtId="0" xfId="0" applyAlignment="1" applyBorder="1" applyFont="1">
      <alignment horizontal="left" readingOrder="0"/>
    </xf>
    <xf borderId="19" fillId="2" fontId="6" numFmtId="0" xfId="0" applyAlignment="1" applyBorder="1" applyFill="1" applyFont="1">
      <alignment horizontal="center" shrinkToFit="0" vertical="center" wrapText="1"/>
    </xf>
    <xf borderId="20" fillId="2" fontId="6" numFmtId="0" xfId="0" applyAlignment="1" applyBorder="1" applyFill="1" applyFont="1">
      <alignment horizontal="center" shrinkToFit="0" vertical="center" wrapText="1"/>
    </xf>
    <xf borderId="21" fillId="0" fontId="4" numFmtId="0" xfId="0" applyBorder="1" applyFont="1"/>
    <xf borderId="22" fillId="0" fontId="4" numFmtId="0" xfId="0" applyBorder="1" applyFont="1"/>
    <xf borderId="23" fillId="0" fontId="4" numFmtId="0" xfId="0" applyBorder="1" applyFont="1"/>
    <xf borderId="24" fillId="0" fontId="9" numFmtId="0" xfId="0" applyAlignment="1" applyBorder="1" applyFont="1">
      <alignment horizontal="center" shrinkToFit="0" vertical="center" wrapText="1"/>
    </xf>
    <xf borderId="25" fillId="0" fontId="9" numFmtId="0" xfId="0" applyAlignment="1" applyBorder="1" applyFont="1">
      <alignment horizontal="left" shrinkToFit="0" vertical="center" wrapText="1"/>
    </xf>
    <xf borderId="25" fillId="0" fontId="12" numFmtId="0" xfId="0" applyBorder="1" applyFont="1"/>
    <xf borderId="9" fillId="4" fontId="20" numFmtId="0" xfId="0" applyAlignment="1" applyBorder="1" applyFill="1" applyFont="1">
      <alignment horizontal="center" readingOrder="0" shrinkToFit="0" vertical="center" wrapText="1"/>
    </xf>
    <xf borderId="3" fillId="10" fontId="5" numFmtId="0" xfId="0" applyAlignment="1" applyBorder="1" applyFill="1" applyFont="1">
      <alignment horizontal="center" readingOrder="0"/>
    </xf>
    <xf borderId="5" fillId="10" fontId="19" numFmtId="0" xfId="0" applyAlignment="1" applyBorder="1" applyFill="1" applyFont="1">
      <alignment readingOrder="0" shrinkToFit="0" wrapText="1"/>
    </xf>
    <xf borderId="5" fillId="4" fontId="10" numFmtId="0" xfId="0" applyAlignment="1" applyBorder="1" applyFill="1" applyFont="1">
      <alignment horizontal="center" readingOrder="0" shrinkToFit="0" vertical="center" wrapText="1"/>
    </xf>
    <xf borderId="5" fillId="4" fontId="20" numFmtId="0" xfId="0" applyAlignment="1" applyBorder="1" applyFill="1" applyFont="1">
      <alignment horizontal="center" shrinkToFit="0" vertical="center" wrapText="1"/>
    </xf>
    <xf borderId="3" fillId="10" fontId="10" numFmtId="0" xfId="0" applyAlignment="1" applyBorder="1" applyFill="1" applyFont="1">
      <alignment horizontal="center" readingOrder="0" shrinkToFit="0" vertical="center" wrapText="1"/>
    </xf>
    <xf borderId="5" fillId="10" fontId="20" numFmtId="0" xfId="0" applyAlignment="1" applyBorder="1" applyFill="1" applyFont="1">
      <alignment horizontal="left" readingOrder="0" shrinkToFit="0" vertical="center" wrapText="1"/>
    </xf>
    <xf borderId="25" fillId="0" fontId="9" numFmtId="0" xfId="0" applyAlignment="1" applyBorder="1" applyFont="1">
      <alignment horizontal="left" readingOrder="0" shrinkToFit="0" vertical="center" wrapText="1"/>
    </xf>
    <xf borderId="0" fillId="4" fontId="2" numFmtId="0" xfId="0" applyAlignment="1" applyFill="1" applyFont="1">
      <alignment horizontal="center" vertical="center"/>
    </xf>
    <xf borderId="3" fillId="7" fontId="22" numFmtId="0" xfId="0" applyAlignment="1" applyBorder="1" applyFill="1" applyFont="1">
      <alignment horizontal="center" shrinkToFit="0" vertical="center" wrapText="1"/>
    </xf>
    <xf borderId="5" fillId="4" fontId="25" numFmtId="0" xfId="0" applyAlignment="1" applyBorder="1" applyFill="1" applyFont="1">
      <alignment horizontal="center" shrinkToFit="0" vertical="center" wrapText="1"/>
    </xf>
    <xf borderId="5" fillId="0" fontId="26" numFmtId="0" xfId="0" applyAlignment="1" applyBorder="1" applyFont="1">
      <alignment horizontal="center" shrinkToFit="0" vertical="center" wrapText="1"/>
    </xf>
    <xf borderId="3" fillId="4" fontId="18" numFmtId="0" xfId="0" applyAlignment="1" applyBorder="1" applyFill="1" applyFont="1">
      <alignment horizontal="center" readingOrder="0" shrinkToFit="0" vertical="center" wrapText="1"/>
    </xf>
    <xf borderId="0" fillId="0" fontId="26" numFmtId="0" xfId="0" applyAlignment="1" applyFont="1">
      <alignment horizontal="left" readingOrder="0"/>
    </xf>
    <xf borderId="7" fillId="4" fontId="15" numFmtId="0" xfId="0" applyAlignment="1" applyBorder="1" applyFill="1" applyFont="1">
      <alignment horizontal="left" shrinkToFit="0" vertical="center" wrapText="1"/>
    </xf>
    <xf borderId="8" fillId="4" fontId="15" numFmtId="0" xfId="0" applyAlignment="1" applyBorder="1" applyFill="1" applyFont="1">
      <alignment horizontal="left" shrinkToFit="0" vertical="center" wrapText="1"/>
    </xf>
    <xf borderId="5" fillId="4" fontId="27" numFmtId="0" xfId="0" applyAlignment="1" applyBorder="1" applyFill="1" applyFont="1">
      <alignment horizontal="center" shrinkToFit="0" vertical="center" wrapText="1"/>
    </xf>
    <xf borderId="5" fillId="4" fontId="27" numFmtId="0" xfId="0" applyAlignment="1" applyBorder="1" applyFill="1" applyFont="1">
      <alignment horizontal="center" readingOrder="0" shrinkToFit="0" vertical="center" wrapText="1"/>
    </xf>
    <xf borderId="0" fillId="0" fontId="28" numFmtId="0" xfId="0" applyAlignment="1" applyFont="1">
      <alignment readingOrder="0"/>
    </xf>
    <xf borderId="7" fillId="4" fontId="25" numFmtId="0" xfId="0" applyAlignment="1" applyBorder="1" applyFill="1" applyFont="1">
      <alignment horizontal="left" shrinkToFit="0" vertical="center" wrapText="1"/>
    </xf>
    <xf borderId="3" fillId="0" fontId="21" numFmtId="0" xfId="0" applyAlignment="1" applyBorder="1" applyFont="1">
      <alignment horizontal="center" readingOrder="0" shrinkToFit="0" vertical="center" wrapText="1"/>
    </xf>
    <xf borderId="8" fillId="4" fontId="25" numFmtId="0" xfId="0" applyAlignment="1" applyBorder="1" applyFill="1" applyFont="1">
      <alignment horizontal="left" shrinkToFit="0" vertical="center" wrapText="1"/>
    </xf>
    <xf borderId="5" fillId="4" fontId="29" numFmtId="0" xfId="0" applyAlignment="1" applyBorder="1" applyFill="1" applyFont="1">
      <alignment horizontal="center" readingOrder="0" shrinkToFit="0" vertical="center" wrapText="1"/>
    </xf>
    <xf borderId="5" fillId="0" fontId="30" numFmtId="0" xfId="0" applyAlignment="1" applyBorder="1" applyFont="1">
      <alignment horizontal="center" vertical="center"/>
    </xf>
    <xf borderId="5" fillId="4" fontId="29" numFmtId="0" xfId="0" applyAlignment="1" applyBorder="1" applyFill="1" applyFont="1">
      <alignment horizontal="center" shrinkToFit="0" vertical="center" wrapText="1"/>
    </xf>
    <xf borderId="3" fillId="7" fontId="22" numFmtId="0" xfId="0" applyAlignment="1" applyBorder="1" applyFill="1" applyFont="1">
      <alignment horizontal="center" readingOrder="0" shrinkToFit="0" vertical="center" wrapText="1"/>
    </xf>
    <xf borderId="5" fillId="4" fontId="31" numFmtId="0" xfId="0" applyAlignment="1" applyBorder="1" applyFill="1" applyFont="1">
      <alignment horizontal="center" readingOrder="0" shrinkToFit="0" vertical="center" wrapText="1"/>
    </xf>
    <xf borderId="15" fillId="0" fontId="28" numFmtId="0" xfId="0" applyAlignment="1" applyBorder="1" applyFont="1">
      <alignment readingOrder="0"/>
    </xf>
    <xf borderId="0" fillId="0" fontId="28" numFmtId="0" xfId="0" applyFont="1"/>
    <xf borderId="16" fillId="0" fontId="28" numFmtId="0" xfId="0" applyAlignment="1" applyBorder="1" applyFont="1">
      <alignment readingOrder="0"/>
    </xf>
    <xf borderId="0" fillId="0" fontId="21" numFmtId="0" xfId="0" applyAlignment="1" applyFont="1">
      <alignment horizontal="center" readingOrder="0" shrinkToFit="0" vertical="center" wrapText="1"/>
    </xf>
    <xf borderId="0" fillId="4" fontId="10" numFmtId="0" xfId="0" applyAlignment="1" applyFill="1" applyFont="1">
      <alignment horizontal="center" readingOrder="0" shrinkToFit="0" vertical="center" wrapText="1"/>
    </xf>
    <xf borderId="0" fillId="4" fontId="20" numFmtId="0" xfId="0" applyAlignment="1" applyFill="1" applyFont="1">
      <alignment horizontal="left" readingOrder="0" shrinkToFit="0" vertical="center" wrapText="1"/>
    </xf>
    <xf borderId="0" fillId="4" fontId="15" numFmtId="0" xfId="0" applyAlignment="1" applyFill="1" applyFont="1">
      <alignment horizontal="left" shrinkToFit="0" vertical="center" wrapText="1"/>
    </xf>
    <xf borderId="0" fillId="4" fontId="27" numFmtId="0" xfId="0" applyAlignment="1" applyFill="1" applyFont="1">
      <alignment horizontal="center" readingOrder="0" shrinkToFit="0" vertical="center" wrapText="1"/>
    </xf>
    <xf borderId="0" fillId="4" fontId="31" numFmtId="0" xfId="0" applyAlignment="1" applyFill="1" applyFont="1">
      <alignment horizontal="center" readingOrder="0" shrinkToFit="0" vertical="center" wrapText="1"/>
    </xf>
    <xf borderId="0" fillId="0" fontId="32"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0"/>
    <col customWidth="1" min="2" max="2" width="29.5"/>
    <col customWidth="1" min="3" max="3" width="50.75"/>
    <col customWidth="1" min="4" max="4" width="20.88"/>
    <col customWidth="1" min="5" max="5" width="78.5"/>
  </cols>
  <sheetData>
    <row r="1" ht="138.75" customHeight="1">
      <c r="A1" s="1"/>
      <c r="B1" s="3" t="s">
        <v>1</v>
      </c>
      <c r="C1" s="5" t="s">
        <v>2</v>
      </c>
      <c r="D1" s="7"/>
      <c r="E1" s="8"/>
      <c r="F1" s="10"/>
      <c r="G1" s="10"/>
      <c r="H1" s="10"/>
      <c r="I1" s="10"/>
      <c r="J1" s="10"/>
    </row>
    <row r="2" ht="36.75" customHeight="1">
      <c r="A2" s="2" t="s">
        <v>3</v>
      </c>
      <c r="B2" s="4"/>
      <c r="C2" s="4"/>
      <c r="D2" s="4"/>
      <c r="E2" s="6"/>
      <c r="F2" s="10"/>
      <c r="G2" s="10"/>
      <c r="H2" s="10"/>
      <c r="I2" s="10"/>
      <c r="J2" s="10"/>
    </row>
    <row r="3" ht="47.25" customHeight="1">
      <c r="A3" s="11" t="s">
        <v>5</v>
      </c>
      <c r="B3" s="11" t="s">
        <v>7</v>
      </c>
      <c r="C3" s="11" t="s">
        <v>8</v>
      </c>
      <c r="D3" s="13" t="s">
        <v>9</v>
      </c>
      <c r="E3" s="11" t="s">
        <v>11</v>
      </c>
    </row>
    <row r="4" ht="49.5" customHeight="1">
      <c r="A4" s="15">
        <v>1.0</v>
      </c>
      <c r="B4" s="16" t="s">
        <v>13</v>
      </c>
      <c r="C4" s="18" t="s">
        <v>14</v>
      </c>
      <c r="D4" s="16" t="s">
        <v>15</v>
      </c>
      <c r="E4" s="20" t="s">
        <v>17</v>
      </c>
    </row>
    <row r="5" ht="49.5" customHeight="1">
      <c r="A5" s="15">
        <f t="shared" ref="A5:A10" si="1">A4+1</f>
        <v>2</v>
      </c>
      <c r="B5" s="16" t="s">
        <v>21</v>
      </c>
      <c r="C5" s="18" t="s">
        <v>22</v>
      </c>
      <c r="D5" s="16" t="s">
        <v>15</v>
      </c>
      <c r="E5" s="18" t="s">
        <v>23</v>
      </c>
    </row>
    <row r="6" ht="49.5" customHeight="1">
      <c r="A6" s="15">
        <f t="shared" si="1"/>
        <v>3</v>
      </c>
      <c r="B6" s="18" t="s">
        <v>24</v>
      </c>
      <c r="C6" s="18" t="s">
        <v>25</v>
      </c>
      <c r="D6" s="18" t="s">
        <v>15</v>
      </c>
      <c r="E6" s="18" t="s">
        <v>26</v>
      </c>
    </row>
    <row r="7" ht="49.5" customHeight="1">
      <c r="A7" s="15">
        <f t="shared" si="1"/>
        <v>4</v>
      </c>
      <c r="B7" s="18" t="s">
        <v>27</v>
      </c>
      <c r="C7" s="20" t="s">
        <v>28</v>
      </c>
      <c r="D7" s="18" t="s">
        <v>15</v>
      </c>
      <c r="E7" s="18" t="s">
        <v>29</v>
      </c>
    </row>
    <row r="8" ht="49.5" customHeight="1">
      <c r="A8" s="15">
        <f t="shared" si="1"/>
        <v>5</v>
      </c>
      <c r="B8" s="18" t="s">
        <v>30</v>
      </c>
      <c r="C8" s="20" t="s">
        <v>31</v>
      </c>
      <c r="D8" s="18" t="s">
        <v>15</v>
      </c>
      <c r="E8" s="18" t="s">
        <v>32</v>
      </c>
    </row>
    <row r="9" ht="49.5" customHeight="1">
      <c r="A9" s="15">
        <f t="shared" si="1"/>
        <v>6</v>
      </c>
      <c r="B9" s="18" t="s">
        <v>33</v>
      </c>
      <c r="C9" s="20" t="s">
        <v>34</v>
      </c>
      <c r="D9" s="18" t="s">
        <v>15</v>
      </c>
      <c r="E9" s="18" t="s">
        <v>36</v>
      </c>
    </row>
    <row r="10" ht="49.5" customHeight="1">
      <c r="A10" s="15">
        <f t="shared" si="1"/>
        <v>7</v>
      </c>
      <c r="B10" s="18" t="s">
        <v>37</v>
      </c>
      <c r="C10" s="20" t="s">
        <v>38</v>
      </c>
      <c r="D10" s="18" t="s">
        <v>15</v>
      </c>
      <c r="E10" s="18" t="s">
        <v>39</v>
      </c>
    </row>
    <row r="11" ht="49.5" customHeight="1">
      <c r="A11" s="15">
        <f>8</f>
        <v>8</v>
      </c>
      <c r="B11" s="18" t="s">
        <v>40</v>
      </c>
      <c r="C11" s="18" t="s">
        <v>41</v>
      </c>
      <c r="D11" s="18" t="s">
        <v>15</v>
      </c>
      <c r="E11" s="18" t="s">
        <v>42</v>
      </c>
    </row>
    <row r="12" ht="49.5" customHeight="1">
      <c r="A12" s="15">
        <f>9</f>
        <v>9</v>
      </c>
      <c r="B12" s="18" t="s">
        <v>44</v>
      </c>
      <c r="C12" s="20" t="s">
        <v>45</v>
      </c>
      <c r="D12" s="18" t="s">
        <v>15</v>
      </c>
      <c r="E12" s="18" t="s">
        <v>46</v>
      </c>
    </row>
    <row r="13" ht="72.0" customHeight="1">
      <c r="A13" s="43">
        <v>10.0</v>
      </c>
      <c r="B13" s="18" t="s">
        <v>47</v>
      </c>
      <c r="C13" s="20" t="s">
        <v>49</v>
      </c>
      <c r="D13" s="18" t="s">
        <v>15</v>
      </c>
      <c r="E13" s="18" t="s">
        <v>50</v>
      </c>
    </row>
    <row r="14" ht="48.75" customHeight="1">
      <c r="A14" s="43">
        <v>11.0</v>
      </c>
      <c r="B14" s="18" t="s">
        <v>51</v>
      </c>
      <c r="C14" s="20" t="s">
        <v>52</v>
      </c>
      <c r="D14" s="18" t="s">
        <v>15</v>
      </c>
      <c r="E14" s="18" t="s">
        <v>53</v>
      </c>
    </row>
    <row r="15" ht="49.5" customHeight="1">
      <c r="A15" s="43">
        <v>12.0</v>
      </c>
      <c r="B15" s="16" t="s">
        <v>54</v>
      </c>
      <c r="C15" s="18" t="s">
        <v>56</v>
      </c>
      <c r="D15" s="18" t="s">
        <v>15</v>
      </c>
      <c r="E15" s="18" t="s">
        <v>57</v>
      </c>
    </row>
    <row r="16" ht="49.5" customHeight="1">
      <c r="A16" s="43">
        <v>13.0</v>
      </c>
      <c r="B16" s="16" t="s">
        <v>58</v>
      </c>
      <c r="C16" s="20" t="s">
        <v>59</v>
      </c>
      <c r="D16" s="18" t="s">
        <v>15</v>
      </c>
      <c r="E16" s="18" t="s">
        <v>60</v>
      </c>
    </row>
    <row r="17" ht="49.5" customHeight="1">
      <c r="A17" s="43">
        <v>14.0</v>
      </c>
      <c r="B17" s="16" t="s">
        <v>61</v>
      </c>
      <c r="C17" s="18" t="s">
        <v>62</v>
      </c>
      <c r="D17" s="18" t="s">
        <v>15</v>
      </c>
      <c r="E17" s="18" t="s">
        <v>63</v>
      </c>
    </row>
    <row r="18" ht="49.5" customHeight="1">
      <c r="A18" s="15">
        <f t="shared" ref="A18:A26" si="2">A17+1</f>
        <v>15</v>
      </c>
      <c r="B18" s="16" t="s">
        <v>65</v>
      </c>
      <c r="C18" s="18" t="s">
        <v>66</v>
      </c>
      <c r="D18" s="18" t="s">
        <v>15</v>
      </c>
      <c r="E18" s="18" t="s">
        <v>67</v>
      </c>
    </row>
    <row r="19" ht="49.5" customHeight="1">
      <c r="A19" s="15">
        <f t="shared" si="2"/>
        <v>16</v>
      </c>
      <c r="B19" s="16" t="s">
        <v>68</v>
      </c>
      <c r="C19" s="18" t="s">
        <v>69</v>
      </c>
      <c r="D19" s="18" t="s">
        <v>15</v>
      </c>
      <c r="E19" s="18" t="s">
        <v>70</v>
      </c>
    </row>
    <row r="20" ht="49.5" customHeight="1">
      <c r="A20" s="15">
        <f t="shared" si="2"/>
        <v>17</v>
      </c>
      <c r="B20" s="16" t="s">
        <v>73</v>
      </c>
      <c r="C20" s="18" t="s">
        <v>74</v>
      </c>
      <c r="D20" s="18" t="s">
        <v>15</v>
      </c>
      <c r="E20" s="18" t="s">
        <v>75</v>
      </c>
    </row>
    <row r="21" ht="49.5" customHeight="1">
      <c r="A21" s="15">
        <f t="shared" si="2"/>
        <v>18</v>
      </c>
      <c r="B21" s="16" t="s">
        <v>78</v>
      </c>
      <c r="C21" s="18" t="s">
        <v>79</v>
      </c>
      <c r="D21" s="18" t="s">
        <v>15</v>
      </c>
      <c r="E21" s="18" t="s">
        <v>80</v>
      </c>
    </row>
    <row r="22" ht="49.5" customHeight="1">
      <c r="A22" s="15">
        <f t="shared" si="2"/>
        <v>19</v>
      </c>
      <c r="B22" s="16" t="s">
        <v>82</v>
      </c>
      <c r="C22" s="18" t="s">
        <v>83</v>
      </c>
      <c r="D22" s="16" t="s">
        <v>84</v>
      </c>
      <c r="E22" s="20" t="s">
        <v>85</v>
      </c>
    </row>
    <row r="23" ht="49.5" customHeight="1">
      <c r="A23" s="15">
        <f t="shared" si="2"/>
        <v>20</v>
      </c>
      <c r="B23" s="16" t="s">
        <v>87</v>
      </c>
      <c r="C23" s="18" t="s">
        <v>88</v>
      </c>
      <c r="D23" s="16" t="s">
        <v>84</v>
      </c>
      <c r="E23" s="20" t="s">
        <v>89</v>
      </c>
    </row>
    <row r="24" ht="49.5" customHeight="1">
      <c r="A24" s="15">
        <f t="shared" si="2"/>
        <v>21</v>
      </c>
      <c r="B24" s="16" t="s">
        <v>90</v>
      </c>
      <c r="C24" s="18" t="s">
        <v>91</v>
      </c>
      <c r="D24" s="16" t="s">
        <v>84</v>
      </c>
      <c r="E24" s="18" t="s">
        <v>92</v>
      </c>
    </row>
    <row r="25" ht="49.5" customHeight="1">
      <c r="A25" s="15">
        <f t="shared" si="2"/>
        <v>22</v>
      </c>
      <c r="B25" s="16" t="s">
        <v>93</v>
      </c>
      <c r="C25" s="18" t="s">
        <v>94</v>
      </c>
      <c r="D25" s="16" t="s">
        <v>84</v>
      </c>
      <c r="E25" s="20" t="s">
        <v>95</v>
      </c>
    </row>
    <row r="26" ht="49.5" customHeight="1">
      <c r="A26" s="15">
        <f t="shared" si="2"/>
        <v>23</v>
      </c>
      <c r="B26" s="60" t="s">
        <v>97</v>
      </c>
      <c r="C26" s="20" t="s">
        <v>98</v>
      </c>
      <c r="D26" s="16" t="s">
        <v>84</v>
      </c>
      <c r="E26" s="20" t="s">
        <v>99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C1:E1"/>
    <mergeCell ref="A2:E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7.0"/>
    <col customWidth="1" min="11" max="11" width="15.25"/>
    <col customWidth="1" min="12" max="25" width="31.63"/>
  </cols>
  <sheetData>
    <row r="1" ht="32.25" customHeight="1">
      <c r="A1" s="2" t="s">
        <v>0</v>
      </c>
      <c r="B1" s="4"/>
      <c r="C1" s="4"/>
      <c r="D1" s="4"/>
      <c r="E1" s="4"/>
      <c r="F1" s="4"/>
      <c r="G1" s="4"/>
      <c r="H1" s="4"/>
      <c r="I1" s="4"/>
      <c r="J1" s="4"/>
      <c r="K1" s="6"/>
      <c r="L1" s="9"/>
      <c r="M1" s="9"/>
      <c r="N1" s="9"/>
      <c r="O1" s="9"/>
      <c r="P1" s="9"/>
      <c r="Q1" s="9"/>
      <c r="R1" s="9"/>
      <c r="S1" s="9"/>
      <c r="T1" s="9"/>
      <c r="U1" s="9"/>
      <c r="V1" s="9"/>
      <c r="W1" s="9"/>
      <c r="X1" s="9"/>
      <c r="Y1" s="9"/>
    </row>
    <row r="2" ht="29.25" customHeight="1">
      <c r="A2" s="12" t="s">
        <v>6</v>
      </c>
      <c r="B2" s="14" t="s">
        <v>10</v>
      </c>
      <c r="C2" s="7"/>
      <c r="D2" s="7"/>
      <c r="E2" s="7"/>
      <c r="F2" s="7"/>
      <c r="G2" s="7"/>
      <c r="H2" s="7"/>
      <c r="I2" s="7"/>
      <c r="J2" s="7"/>
      <c r="K2" s="8"/>
      <c r="L2" s="19"/>
      <c r="M2" s="19"/>
      <c r="N2" s="19"/>
      <c r="O2" s="19"/>
      <c r="P2" s="19"/>
      <c r="Q2" s="19"/>
      <c r="R2" s="19"/>
      <c r="S2" s="19"/>
      <c r="T2" s="19"/>
      <c r="U2" s="19"/>
      <c r="V2" s="19"/>
      <c r="W2" s="19"/>
      <c r="X2" s="19"/>
      <c r="Y2" s="19"/>
    </row>
    <row r="3" ht="15.75" customHeight="1">
      <c r="A3" s="24">
        <v>1.0</v>
      </c>
      <c r="B3" s="30" t="s">
        <v>18</v>
      </c>
      <c r="C3" s="22"/>
      <c r="D3" s="22"/>
      <c r="E3" s="22"/>
      <c r="F3" s="22"/>
      <c r="G3" s="22"/>
      <c r="H3" s="22"/>
      <c r="I3" s="22"/>
      <c r="J3" s="22"/>
      <c r="K3" s="23"/>
      <c r="L3" s="33"/>
      <c r="M3" s="33"/>
      <c r="N3" s="33"/>
      <c r="O3" s="33"/>
      <c r="P3" s="33"/>
      <c r="Q3" s="33"/>
      <c r="R3" s="33"/>
      <c r="S3" s="33"/>
      <c r="T3" s="33"/>
      <c r="U3" s="33"/>
      <c r="V3" s="33"/>
      <c r="W3" s="33"/>
      <c r="X3" s="33"/>
      <c r="Y3" s="33"/>
    </row>
    <row r="4" ht="15.75" customHeight="1">
      <c r="A4" s="24">
        <v>2.0</v>
      </c>
      <c r="B4" s="25"/>
      <c r="K4" s="26"/>
      <c r="L4" s="33"/>
      <c r="M4" s="33"/>
      <c r="N4" s="33"/>
      <c r="O4" s="33"/>
      <c r="P4" s="33"/>
      <c r="Q4" s="33"/>
      <c r="R4" s="33"/>
      <c r="S4" s="33"/>
      <c r="T4" s="33"/>
      <c r="U4" s="33"/>
      <c r="V4" s="33"/>
      <c r="W4" s="33"/>
      <c r="X4" s="33"/>
      <c r="Y4" s="33"/>
    </row>
    <row r="5" ht="15.75" customHeight="1">
      <c r="A5" s="24">
        <v>3.0</v>
      </c>
      <c r="B5" s="25"/>
      <c r="K5" s="26"/>
      <c r="L5" s="33"/>
      <c r="M5" s="33"/>
      <c r="N5" s="33"/>
      <c r="O5" s="33"/>
      <c r="P5" s="33"/>
      <c r="Q5" s="33"/>
      <c r="R5" s="33"/>
      <c r="S5" s="33"/>
      <c r="T5" s="33"/>
      <c r="U5" s="33"/>
      <c r="V5" s="33"/>
      <c r="W5" s="33"/>
      <c r="X5" s="33"/>
      <c r="Y5" s="33"/>
    </row>
    <row r="6" ht="15.75" customHeight="1">
      <c r="A6" s="24">
        <v>4.0</v>
      </c>
      <c r="B6" s="27"/>
      <c r="C6" s="28"/>
      <c r="D6" s="28"/>
      <c r="E6" s="28"/>
      <c r="F6" s="28"/>
      <c r="G6" s="28"/>
      <c r="H6" s="28"/>
      <c r="I6" s="28"/>
      <c r="J6" s="28"/>
      <c r="K6" s="29"/>
      <c r="L6" s="33"/>
      <c r="M6" s="33"/>
      <c r="N6" s="33"/>
      <c r="O6" s="33"/>
      <c r="P6" s="33"/>
      <c r="Q6" s="33"/>
      <c r="R6" s="33"/>
      <c r="S6" s="33"/>
      <c r="T6" s="33"/>
      <c r="U6" s="33"/>
      <c r="V6" s="33"/>
      <c r="W6" s="33"/>
      <c r="X6" s="33"/>
      <c r="Y6" s="33"/>
    </row>
    <row r="7" ht="27.75" customHeight="1">
      <c r="A7" s="32" t="s">
        <v>20</v>
      </c>
      <c r="B7" s="7"/>
      <c r="C7" s="7"/>
      <c r="D7" s="7"/>
      <c r="E7" s="7"/>
      <c r="F7" s="7"/>
      <c r="G7" s="7"/>
      <c r="H7" s="7"/>
      <c r="I7" s="7"/>
      <c r="J7" s="7"/>
      <c r="K7" s="8"/>
      <c r="L7" s="44"/>
      <c r="M7" s="44"/>
      <c r="N7" s="44"/>
      <c r="O7" s="44"/>
      <c r="P7" s="44"/>
      <c r="Q7" s="44"/>
      <c r="R7" s="44"/>
      <c r="S7" s="44"/>
      <c r="T7" s="44"/>
      <c r="U7" s="44"/>
      <c r="V7" s="44"/>
      <c r="W7" s="44"/>
      <c r="X7" s="44"/>
      <c r="Y7" s="44"/>
    </row>
    <row r="8" ht="38.25" customHeight="1">
      <c r="L8" s="45"/>
      <c r="M8" s="45"/>
      <c r="N8" s="45"/>
      <c r="O8" s="45"/>
      <c r="P8" s="45"/>
      <c r="Q8" s="45"/>
      <c r="R8" s="45"/>
      <c r="S8" s="45"/>
      <c r="T8" s="45"/>
      <c r="U8" s="45"/>
      <c r="V8" s="45"/>
      <c r="W8" s="45"/>
      <c r="X8" s="45"/>
      <c r="Y8" s="45"/>
    </row>
    <row r="9" ht="31.5" customHeight="1">
      <c r="A9" s="47" t="s">
        <v>5</v>
      </c>
      <c r="B9" s="47" t="s">
        <v>7</v>
      </c>
      <c r="C9" s="50"/>
      <c r="D9" s="7"/>
      <c r="E9" s="7"/>
      <c r="F9" s="8"/>
      <c r="G9" s="53" t="s">
        <v>76</v>
      </c>
      <c r="H9" s="7"/>
      <c r="I9" s="7"/>
      <c r="J9" s="8"/>
      <c r="K9" s="56"/>
      <c r="L9" s="58"/>
      <c r="M9" s="58"/>
      <c r="N9" s="58"/>
      <c r="O9" s="58"/>
      <c r="P9" s="58"/>
      <c r="Q9" s="58"/>
      <c r="R9" s="58"/>
      <c r="S9" s="58"/>
      <c r="T9" s="58"/>
      <c r="U9" s="58"/>
      <c r="V9" s="58"/>
      <c r="W9" s="58"/>
      <c r="X9" s="58"/>
      <c r="Y9" s="58"/>
    </row>
    <row r="10" ht="31.5" customHeight="1">
      <c r="B10" s="47" t="s">
        <v>96</v>
      </c>
      <c r="C10" s="50"/>
      <c r="D10" s="7"/>
      <c r="E10" s="7"/>
      <c r="F10" s="8"/>
      <c r="G10" s="53" t="s">
        <v>100</v>
      </c>
      <c r="H10" s="7"/>
      <c r="I10" s="7"/>
      <c r="J10" s="8"/>
      <c r="K10" s="56"/>
      <c r="L10" s="58"/>
      <c r="M10" s="58"/>
      <c r="N10" s="58"/>
      <c r="O10" s="58"/>
      <c r="P10" s="58"/>
      <c r="Q10" s="58"/>
      <c r="R10" s="58"/>
      <c r="S10" s="58"/>
      <c r="T10" s="58"/>
      <c r="U10" s="58"/>
      <c r="V10" s="58"/>
      <c r="W10" s="58"/>
      <c r="X10" s="58"/>
      <c r="Y10" s="58"/>
    </row>
    <row r="11" ht="28.5" customHeight="1">
      <c r="A11" s="63" t="s">
        <v>5</v>
      </c>
      <c r="B11" s="65" t="s">
        <v>71</v>
      </c>
      <c r="C11" s="53" t="s">
        <v>72</v>
      </c>
      <c r="D11" s="7"/>
      <c r="E11" s="7"/>
      <c r="F11" s="8"/>
      <c r="G11" s="53" t="s">
        <v>11</v>
      </c>
      <c r="H11" s="7"/>
      <c r="I11" s="7"/>
      <c r="J11" s="8"/>
      <c r="K11" s="65" t="s">
        <v>77</v>
      </c>
      <c r="L11" s="58"/>
      <c r="M11" s="58"/>
      <c r="N11" s="58"/>
      <c r="O11" s="58"/>
      <c r="P11" s="58"/>
      <c r="Q11" s="58"/>
      <c r="R11" s="58"/>
      <c r="S11" s="58"/>
      <c r="T11" s="58"/>
      <c r="U11" s="58"/>
      <c r="V11" s="58"/>
      <c r="W11" s="58"/>
      <c r="X11" s="58"/>
      <c r="Y11" s="58"/>
    </row>
    <row r="12" ht="26.25" customHeight="1">
      <c r="A12" s="68">
        <v>1.0</v>
      </c>
      <c r="B12" s="69"/>
      <c r="C12" s="71"/>
      <c r="D12" s="7"/>
      <c r="E12" s="7"/>
      <c r="F12" s="8"/>
      <c r="G12" s="71"/>
      <c r="H12" s="7"/>
      <c r="I12" s="7"/>
      <c r="J12" s="8"/>
      <c r="K12" s="69"/>
      <c r="L12" s="73"/>
      <c r="M12" s="73"/>
      <c r="N12" s="73"/>
      <c r="O12" s="73"/>
      <c r="P12" s="73"/>
      <c r="Q12" s="73"/>
      <c r="R12" s="73"/>
      <c r="S12" s="73"/>
      <c r="T12" s="73"/>
      <c r="U12" s="73"/>
      <c r="V12" s="73"/>
      <c r="W12" s="73"/>
      <c r="X12" s="73"/>
      <c r="Y12" s="73"/>
    </row>
    <row r="13" ht="26.25" customHeight="1">
      <c r="A13" s="68">
        <v>2.0</v>
      </c>
      <c r="B13" s="69"/>
      <c r="C13" s="71"/>
      <c r="D13" s="7"/>
      <c r="E13" s="7"/>
      <c r="F13" s="8"/>
      <c r="G13" s="71"/>
      <c r="H13" s="7"/>
      <c r="I13" s="7"/>
      <c r="J13" s="8"/>
      <c r="K13" s="69"/>
      <c r="L13" s="73"/>
      <c r="M13" s="73"/>
      <c r="N13" s="73"/>
      <c r="O13" s="73"/>
      <c r="P13" s="73"/>
      <c r="Q13" s="73"/>
      <c r="R13" s="73"/>
      <c r="S13" s="73"/>
      <c r="T13" s="73"/>
      <c r="U13" s="73"/>
      <c r="V13" s="73"/>
      <c r="W13" s="73"/>
      <c r="X13" s="73"/>
      <c r="Y13" s="73"/>
    </row>
    <row r="14" ht="26.25" customHeight="1">
      <c r="A14" s="68">
        <v>3.0</v>
      </c>
      <c r="B14" s="69"/>
      <c r="C14" s="71"/>
      <c r="D14" s="7"/>
      <c r="E14" s="7"/>
      <c r="F14" s="8"/>
      <c r="G14" s="71"/>
      <c r="H14" s="7"/>
      <c r="I14" s="7"/>
      <c r="J14" s="8"/>
      <c r="K14" s="69"/>
      <c r="L14" s="73"/>
      <c r="M14" s="73"/>
      <c r="N14" s="73"/>
      <c r="O14" s="73"/>
      <c r="P14" s="73"/>
      <c r="Q14" s="73"/>
      <c r="R14" s="73"/>
      <c r="S14" s="73"/>
      <c r="T14" s="73"/>
      <c r="U14" s="73"/>
      <c r="V14" s="73"/>
      <c r="W14" s="73"/>
      <c r="X14" s="73"/>
      <c r="Y14" s="73"/>
    </row>
    <row r="15" ht="26.25" customHeight="1">
      <c r="A15" s="68">
        <v>4.0</v>
      </c>
      <c r="B15" s="69"/>
      <c r="C15" s="71"/>
      <c r="D15" s="7"/>
      <c r="E15" s="7"/>
      <c r="F15" s="8"/>
      <c r="G15" s="71"/>
      <c r="H15" s="7"/>
      <c r="I15" s="7"/>
      <c r="J15" s="8"/>
      <c r="K15" s="69"/>
      <c r="L15" s="73"/>
      <c r="M15" s="73"/>
      <c r="N15" s="73"/>
      <c r="O15" s="73"/>
      <c r="P15" s="73"/>
      <c r="Q15" s="73"/>
      <c r="R15" s="73"/>
      <c r="S15" s="73"/>
      <c r="T15" s="73"/>
      <c r="U15" s="73"/>
      <c r="V15" s="73"/>
      <c r="W15" s="73"/>
      <c r="X15" s="73"/>
      <c r="Y15" s="73"/>
    </row>
    <row r="16" ht="26.25" customHeight="1">
      <c r="A16" s="68">
        <v>5.0</v>
      </c>
      <c r="B16" s="69"/>
      <c r="C16" s="71"/>
      <c r="D16" s="7"/>
      <c r="E16" s="7"/>
      <c r="F16" s="8"/>
      <c r="G16" s="71"/>
      <c r="H16" s="7"/>
      <c r="I16" s="7"/>
      <c r="J16" s="8"/>
      <c r="K16" s="69"/>
      <c r="L16" s="73"/>
      <c r="M16" s="73"/>
      <c r="N16" s="73"/>
      <c r="O16" s="73"/>
      <c r="P16" s="73"/>
      <c r="Q16" s="73"/>
      <c r="R16" s="73"/>
      <c r="S16" s="73"/>
      <c r="T16" s="73"/>
      <c r="U16" s="73"/>
      <c r="V16" s="73"/>
      <c r="W16" s="73"/>
      <c r="X16" s="73"/>
      <c r="Y16" s="73"/>
    </row>
    <row r="17" ht="26.25" customHeight="1">
      <c r="A17" s="74"/>
      <c r="B17" s="69"/>
      <c r="C17" s="71"/>
      <c r="D17" s="7"/>
      <c r="E17" s="7"/>
      <c r="F17" s="8"/>
      <c r="G17" s="71"/>
      <c r="H17" s="7"/>
      <c r="I17" s="7"/>
      <c r="J17" s="8"/>
      <c r="K17" s="69"/>
      <c r="L17" s="73"/>
      <c r="M17" s="73"/>
      <c r="N17" s="73"/>
      <c r="O17" s="73"/>
      <c r="P17" s="73"/>
      <c r="Q17" s="73"/>
      <c r="R17" s="73"/>
      <c r="S17" s="73"/>
      <c r="T17" s="73"/>
      <c r="U17" s="73"/>
      <c r="V17" s="73"/>
      <c r="W17" s="73"/>
      <c r="X17" s="73"/>
      <c r="Y17" s="73"/>
    </row>
    <row r="18" ht="26.25" customHeight="1">
      <c r="A18" s="68" t="s">
        <v>118</v>
      </c>
      <c r="B18" s="69"/>
      <c r="C18" s="71"/>
      <c r="D18" s="7"/>
      <c r="E18" s="7"/>
      <c r="F18" s="8"/>
      <c r="G18" s="71"/>
      <c r="H18" s="7"/>
      <c r="I18" s="7"/>
      <c r="J18" s="8"/>
      <c r="K18" s="69"/>
      <c r="L18" s="73"/>
      <c r="M18" s="73"/>
      <c r="N18" s="73"/>
      <c r="O18" s="73"/>
      <c r="P18" s="73"/>
      <c r="Q18" s="73"/>
      <c r="R18" s="73"/>
      <c r="S18" s="73"/>
      <c r="T18" s="73"/>
      <c r="U18" s="73"/>
      <c r="V18" s="73"/>
      <c r="W18" s="73"/>
      <c r="X18" s="73"/>
      <c r="Y18" s="73"/>
    </row>
    <row r="19" ht="40.5" customHeight="1">
      <c r="L19" s="45"/>
      <c r="M19" s="45"/>
      <c r="N19" s="45"/>
      <c r="O19" s="45"/>
      <c r="P19" s="45"/>
      <c r="Q19" s="45"/>
      <c r="R19" s="45"/>
      <c r="S19" s="45"/>
      <c r="T19" s="45"/>
      <c r="U19" s="45"/>
      <c r="V19" s="45"/>
      <c r="W19" s="45"/>
      <c r="X19" s="45"/>
      <c r="Y19" s="45"/>
    </row>
    <row r="20" ht="15.75" customHeight="1"/>
    <row r="21" ht="31.5" customHeight="1">
      <c r="A21" s="47" t="s">
        <v>5</v>
      </c>
      <c r="B21" s="47" t="s">
        <v>7</v>
      </c>
      <c r="C21" s="50"/>
      <c r="D21" s="7"/>
      <c r="E21" s="7"/>
      <c r="F21" s="8"/>
      <c r="G21" s="53" t="s">
        <v>76</v>
      </c>
      <c r="H21" s="7"/>
      <c r="I21" s="7"/>
      <c r="J21" s="8"/>
      <c r="K21" s="56"/>
      <c r="L21" s="58"/>
      <c r="M21" s="58"/>
      <c r="N21" s="58"/>
      <c r="O21" s="58"/>
      <c r="P21" s="58"/>
      <c r="Q21" s="58"/>
      <c r="R21" s="58"/>
      <c r="S21" s="58"/>
      <c r="T21" s="58"/>
      <c r="U21" s="58"/>
      <c r="V21" s="58"/>
      <c r="W21" s="58"/>
      <c r="X21" s="58"/>
      <c r="Y21" s="58"/>
    </row>
    <row r="22" ht="31.5" customHeight="1">
      <c r="A22" s="80"/>
      <c r="B22" s="47" t="s">
        <v>96</v>
      </c>
      <c r="C22" s="50"/>
      <c r="D22" s="7"/>
      <c r="E22" s="7"/>
      <c r="F22" s="8"/>
      <c r="G22" s="53" t="s">
        <v>100</v>
      </c>
      <c r="H22" s="7"/>
      <c r="I22" s="7"/>
      <c r="J22" s="8"/>
      <c r="K22" s="56"/>
      <c r="L22" s="58"/>
      <c r="M22" s="58"/>
      <c r="N22" s="58"/>
      <c r="O22" s="58"/>
      <c r="P22" s="58"/>
      <c r="Q22" s="58"/>
      <c r="R22" s="58"/>
      <c r="S22" s="58"/>
      <c r="T22" s="58"/>
      <c r="U22" s="58"/>
      <c r="V22" s="58"/>
      <c r="W22" s="58"/>
      <c r="X22" s="58"/>
      <c r="Y22" s="58"/>
    </row>
    <row r="23" ht="28.5" customHeight="1">
      <c r="A23" s="63" t="s">
        <v>5</v>
      </c>
      <c r="B23" s="65" t="s">
        <v>71</v>
      </c>
      <c r="C23" s="53" t="s">
        <v>72</v>
      </c>
      <c r="D23" s="7"/>
      <c r="E23" s="7"/>
      <c r="F23" s="8"/>
      <c r="G23" s="53" t="s">
        <v>11</v>
      </c>
      <c r="H23" s="7"/>
      <c r="I23" s="7"/>
      <c r="J23" s="8"/>
      <c r="K23" s="65" t="s">
        <v>77</v>
      </c>
      <c r="L23" s="58"/>
      <c r="M23" s="58"/>
      <c r="N23" s="58"/>
      <c r="O23" s="58"/>
      <c r="P23" s="58"/>
      <c r="Q23" s="58"/>
      <c r="R23" s="58"/>
      <c r="S23" s="58"/>
      <c r="T23" s="58"/>
      <c r="U23" s="58"/>
      <c r="V23" s="58"/>
      <c r="W23" s="58"/>
      <c r="X23" s="58"/>
      <c r="Y23" s="58"/>
    </row>
    <row r="24" ht="26.25" customHeight="1">
      <c r="A24" s="68">
        <v>1.0</v>
      </c>
      <c r="B24" s="69"/>
      <c r="C24" s="71"/>
      <c r="D24" s="7"/>
      <c r="E24" s="7"/>
      <c r="F24" s="8"/>
      <c r="G24" s="71"/>
      <c r="H24" s="7"/>
      <c r="I24" s="7"/>
      <c r="J24" s="8"/>
      <c r="K24" s="69"/>
      <c r="L24" s="73"/>
      <c r="M24" s="73"/>
      <c r="N24" s="73"/>
      <c r="O24" s="73"/>
      <c r="P24" s="73"/>
      <c r="Q24" s="73"/>
      <c r="R24" s="73"/>
      <c r="S24" s="73"/>
      <c r="T24" s="73"/>
      <c r="U24" s="73"/>
      <c r="V24" s="73"/>
      <c r="W24" s="73"/>
      <c r="X24" s="73"/>
      <c r="Y24" s="73"/>
    </row>
    <row r="25" ht="26.25" customHeight="1">
      <c r="A25" s="68">
        <v>2.0</v>
      </c>
      <c r="B25" s="69"/>
      <c r="C25" s="71"/>
      <c r="D25" s="7"/>
      <c r="E25" s="7"/>
      <c r="F25" s="8"/>
      <c r="G25" s="71"/>
      <c r="H25" s="7"/>
      <c r="I25" s="7"/>
      <c r="J25" s="8"/>
      <c r="K25" s="69"/>
      <c r="L25" s="73"/>
      <c r="M25" s="73"/>
      <c r="N25" s="73"/>
      <c r="O25" s="73"/>
      <c r="P25" s="73"/>
      <c r="Q25" s="73"/>
      <c r="R25" s="73"/>
      <c r="S25" s="73"/>
      <c r="T25" s="73"/>
      <c r="U25" s="73"/>
      <c r="V25" s="73"/>
      <c r="W25" s="73"/>
      <c r="X25" s="73"/>
      <c r="Y25" s="73"/>
    </row>
    <row r="26" ht="26.25" customHeight="1">
      <c r="A26" s="68">
        <v>3.0</v>
      </c>
      <c r="B26" s="69"/>
      <c r="C26" s="71"/>
      <c r="D26" s="7"/>
      <c r="E26" s="7"/>
      <c r="F26" s="8"/>
      <c r="G26" s="71"/>
      <c r="H26" s="7"/>
      <c r="I26" s="7"/>
      <c r="J26" s="8"/>
      <c r="K26" s="69"/>
      <c r="L26" s="73"/>
      <c r="M26" s="73"/>
      <c r="N26" s="73"/>
      <c r="O26" s="73"/>
      <c r="P26" s="73"/>
      <c r="Q26" s="73"/>
      <c r="R26" s="73"/>
      <c r="S26" s="73"/>
      <c r="T26" s="73"/>
      <c r="U26" s="73"/>
      <c r="V26" s="73"/>
      <c r="W26" s="73"/>
      <c r="X26" s="73"/>
      <c r="Y26" s="73"/>
    </row>
    <row r="27" ht="26.25" customHeight="1">
      <c r="A27" s="68">
        <v>4.0</v>
      </c>
      <c r="B27" s="69"/>
      <c r="C27" s="71"/>
      <c r="D27" s="7"/>
      <c r="E27" s="7"/>
      <c r="F27" s="8"/>
      <c r="G27" s="71"/>
      <c r="H27" s="7"/>
      <c r="I27" s="7"/>
      <c r="J27" s="8"/>
      <c r="K27" s="69"/>
      <c r="L27" s="73"/>
      <c r="M27" s="73"/>
      <c r="N27" s="73"/>
      <c r="O27" s="73"/>
      <c r="P27" s="73"/>
      <c r="Q27" s="73"/>
      <c r="R27" s="73"/>
      <c r="S27" s="73"/>
      <c r="T27" s="73"/>
      <c r="U27" s="73"/>
      <c r="V27" s="73"/>
      <c r="W27" s="73"/>
      <c r="X27" s="73"/>
      <c r="Y27" s="73"/>
    </row>
    <row r="28" ht="26.25" customHeight="1">
      <c r="A28" s="68">
        <v>5.0</v>
      </c>
      <c r="B28" s="69"/>
      <c r="C28" s="71"/>
      <c r="D28" s="7"/>
      <c r="E28" s="7"/>
      <c r="F28" s="8"/>
      <c r="G28" s="71"/>
      <c r="H28" s="7"/>
      <c r="I28" s="7"/>
      <c r="J28" s="8"/>
      <c r="K28" s="69"/>
      <c r="L28" s="73"/>
      <c r="M28" s="73"/>
      <c r="N28" s="73"/>
      <c r="O28" s="73"/>
      <c r="P28" s="73"/>
      <c r="Q28" s="73"/>
      <c r="R28" s="73"/>
      <c r="S28" s="73"/>
      <c r="T28" s="73"/>
      <c r="U28" s="73"/>
      <c r="V28" s="73"/>
      <c r="W28" s="73"/>
      <c r="X28" s="73"/>
      <c r="Y28" s="73"/>
    </row>
    <row r="29" ht="26.25" customHeight="1">
      <c r="A29" s="74"/>
      <c r="B29" s="69"/>
      <c r="C29" s="71"/>
      <c r="D29" s="7"/>
      <c r="E29" s="7"/>
      <c r="F29" s="8"/>
      <c r="G29" s="71"/>
      <c r="H29" s="7"/>
      <c r="I29" s="7"/>
      <c r="J29" s="8"/>
      <c r="K29" s="69"/>
      <c r="L29" s="73"/>
      <c r="M29" s="73"/>
      <c r="N29" s="73"/>
      <c r="O29" s="73"/>
      <c r="P29" s="73"/>
      <c r="Q29" s="73"/>
      <c r="R29" s="73"/>
      <c r="S29" s="73"/>
      <c r="T29" s="73"/>
      <c r="U29" s="73"/>
      <c r="V29" s="73"/>
      <c r="W29" s="73"/>
      <c r="X29" s="73"/>
      <c r="Y29" s="73"/>
    </row>
    <row r="30" ht="26.25" customHeight="1">
      <c r="A30" s="68" t="s">
        <v>118</v>
      </c>
      <c r="B30" s="69"/>
      <c r="C30" s="71"/>
      <c r="D30" s="7"/>
      <c r="E30" s="7"/>
      <c r="F30" s="8"/>
      <c r="G30" s="71"/>
      <c r="H30" s="7"/>
      <c r="I30" s="7"/>
      <c r="J30" s="8"/>
      <c r="K30" s="69"/>
      <c r="L30" s="73"/>
      <c r="M30" s="73"/>
      <c r="N30" s="73"/>
      <c r="O30" s="73"/>
      <c r="P30" s="73"/>
      <c r="Q30" s="73"/>
      <c r="R30" s="73"/>
      <c r="S30" s="73"/>
      <c r="T30" s="73"/>
      <c r="U30" s="73"/>
      <c r="V30" s="73"/>
      <c r="W30" s="73"/>
      <c r="X30" s="73"/>
      <c r="Y30" s="73"/>
    </row>
    <row r="31" ht="40.5" customHeight="1">
      <c r="L31" s="45"/>
      <c r="M31" s="45"/>
      <c r="N31" s="45"/>
      <c r="O31" s="45"/>
      <c r="P31" s="45"/>
      <c r="Q31" s="45"/>
      <c r="R31" s="45"/>
      <c r="S31" s="45"/>
      <c r="T31" s="45"/>
      <c r="U31" s="45"/>
      <c r="V31" s="45"/>
      <c r="W31" s="45"/>
      <c r="X31" s="45"/>
      <c r="Y31" s="45"/>
    </row>
    <row r="32" ht="15.75" customHeight="1"/>
    <row r="33" ht="15.75" customHeight="1"/>
    <row r="34" ht="40.5" customHeight="1">
      <c r="A34" s="84" t="s">
        <v>126</v>
      </c>
      <c r="B34" s="7"/>
      <c r="C34" s="7"/>
      <c r="D34" s="7"/>
      <c r="E34" s="7"/>
      <c r="F34" s="7"/>
      <c r="G34" s="7"/>
      <c r="H34" s="7"/>
      <c r="I34" s="7"/>
      <c r="J34" s="7"/>
      <c r="K34" s="8"/>
      <c r="L34" s="85"/>
      <c r="M34" s="85"/>
      <c r="N34" s="85"/>
      <c r="O34" s="85"/>
      <c r="P34" s="85"/>
      <c r="Q34" s="85"/>
      <c r="R34" s="85"/>
      <c r="S34" s="85"/>
      <c r="T34" s="85"/>
      <c r="U34" s="85"/>
      <c r="V34" s="85"/>
      <c r="W34" s="85"/>
      <c r="X34" s="85"/>
      <c r="Y34" s="85"/>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45">
    <mergeCell ref="A1:K1"/>
    <mergeCell ref="B2:K2"/>
    <mergeCell ref="B3:K6"/>
    <mergeCell ref="A7:K7"/>
    <mergeCell ref="C9:F9"/>
    <mergeCell ref="G9:J9"/>
    <mergeCell ref="G10:J10"/>
    <mergeCell ref="C10:F10"/>
    <mergeCell ref="C11:F11"/>
    <mergeCell ref="G11:J11"/>
    <mergeCell ref="C12:F12"/>
    <mergeCell ref="G12:J12"/>
    <mergeCell ref="C13:F13"/>
    <mergeCell ref="G13:J13"/>
    <mergeCell ref="C14:F14"/>
    <mergeCell ref="G14:J14"/>
    <mergeCell ref="C15:F15"/>
    <mergeCell ref="G15:J15"/>
    <mergeCell ref="C16:F16"/>
    <mergeCell ref="G16:J16"/>
    <mergeCell ref="G17:J17"/>
    <mergeCell ref="G18:J18"/>
    <mergeCell ref="C23:F23"/>
    <mergeCell ref="C24:F24"/>
    <mergeCell ref="C25:F25"/>
    <mergeCell ref="C26:F26"/>
    <mergeCell ref="C27:F27"/>
    <mergeCell ref="C28:F28"/>
    <mergeCell ref="C29:F29"/>
    <mergeCell ref="C30:F30"/>
    <mergeCell ref="G24:J24"/>
    <mergeCell ref="G25:J25"/>
    <mergeCell ref="G26:J26"/>
    <mergeCell ref="G27:J27"/>
    <mergeCell ref="G28:J28"/>
    <mergeCell ref="G29:J29"/>
    <mergeCell ref="G30:J30"/>
    <mergeCell ref="A34:K34"/>
    <mergeCell ref="C17:F17"/>
    <mergeCell ref="C18:F18"/>
    <mergeCell ref="C21:F21"/>
    <mergeCell ref="G21:J21"/>
    <mergeCell ref="C22:F22"/>
    <mergeCell ref="G22:J22"/>
    <mergeCell ref="G23:J2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7.0"/>
    <col customWidth="1" min="4" max="4" width="9.0"/>
    <col customWidth="1" min="6" max="6" width="6.88"/>
    <col customWidth="1" min="10" max="10" width="3.63"/>
    <col customWidth="1" min="11" max="11" width="81.0"/>
  </cols>
  <sheetData>
    <row r="1" ht="27.0" customHeight="1">
      <c r="A1" s="31" t="s">
        <v>19</v>
      </c>
      <c r="B1" s="4"/>
      <c r="C1" s="4"/>
      <c r="D1" s="4"/>
      <c r="E1" s="4"/>
      <c r="F1" s="4"/>
      <c r="G1" s="4"/>
      <c r="H1" s="4"/>
      <c r="I1" s="4"/>
      <c r="J1" s="4"/>
      <c r="K1" s="6"/>
    </row>
    <row r="2" ht="26.25" customHeight="1">
      <c r="A2" s="36" t="s">
        <v>6</v>
      </c>
      <c r="B2" s="38" t="s">
        <v>35</v>
      </c>
      <c r="C2" s="7"/>
      <c r="D2" s="7"/>
      <c r="E2" s="7"/>
      <c r="F2" s="7"/>
      <c r="G2" s="7"/>
      <c r="H2" s="7"/>
      <c r="I2" s="7"/>
      <c r="J2" s="7"/>
      <c r="K2" s="8"/>
    </row>
    <row r="3" ht="15.75" customHeight="1">
      <c r="A3" s="17">
        <v>1.0</v>
      </c>
      <c r="B3" s="42" t="s">
        <v>43</v>
      </c>
      <c r="C3" s="7"/>
      <c r="D3" s="7"/>
      <c r="E3" s="7"/>
      <c r="F3" s="7"/>
      <c r="G3" s="7"/>
      <c r="H3" s="7"/>
      <c r="I3" s="7"/>
      <c r="J3" s="7"/>
      <c r="K3" s="8"/>
    </row>
    <row r="4" ht="17.25" customHeight="1">
      <c r="A4" s="17">
        <v>2.0</v>
      </c>
      <c r="B4" s="42" t="s">
        <v>48</v>
      </c>
      <c r="C4" s="7"/>
      <c r="D4" s="7"/>
      <c r="E4" s="7"/>
      <c r="F4" s="7"/>
      <c r="G4" s="7"/>
      <c r="H4" s="7"/>
      <c r="I4" s="7"/>
      <c r="J4" s="7"/>
      <c r="K4" s="8"/>
    </row>
    <row r="5" ht="15.75" customHeight="1">
      <c r="A5" s="17">
        <v>3.0</v>
      </c>
      <c r="B5" s="42" t="s">
        <v>55</v>
      </c>
      <c r="C5" s="7"/>
      <c r="D5" s="7"/>
      <c r="E5" s="7"/>
      <c r="F5" s="7"/>
      <c r="G5" s="7"/>
      <c r="H5" s="7"/>
      <c r="I5" s="7"/>
      <c r="J5" s="7"/>
      <c r="K5" s="8"/>
    </row>
    <row r="6" ht="15.75" customHeight="1">
      <c r="A6" s="17">
        <v>4.0</v>
      </c>
      <c r="B6" s="42" t="s">
        <v>64</v>
      </c>
      <c r="C6" s="7"/>
      <c r="D6" s="7"/>
      <c r="E6" s="7"/>
      <c r="F6" s="7"/>
      <c r="G6" s="7"/>
      <c r="H6" s="7"/>
      <c r="I6" s="7"/>
      <c r="J6" s="7"/>
      <c r="K6" s="8"/>
    </row>
    <row r="7" ht="39.75" customHeight="1">
      <c r="A7" s="51" t="s">
        <v>20</v>
      </c>
      <c r="B7" s="7"/>
      <c r="C7" s="7"/>
      <c r="D7" s="7"/>
      <c r="E7" s="7"/>
      <c r="F7" s="7"/>
      <c r="G7" s="7"/>
      <c r="H7" s="7"/>
      <c r="I7" s="7"/>
      <c r="J7" s="7"/>
      <c r="K7" s="8"/>
    </row>
    <row r="8" ht="31.5" customHeight="1">
      <c r="A8" s="34"/>
      <c r="B8" s="35"/>
      <c r="C8" s="37"/>
      <c r="D8" s="7"/>
      <c r="E8" s="7"/>
      <c r="F8" s="8"/>
      <c r="G8" s="35"/>
      <c r="H8" s="7"/>
      <c r="I8" s="7"/>
      <c r="J8" s="8"/>
      <c r="K8" s="39"/>
    </row>
    <row r="9" ht="15.0" customHeight="1">
      <c r="A9" s="40">
        <v>1.0</v>
      </c>
      <c r="B9" s="41" t="s">
        <v>7</v>
      </c>
      <c r="C9" s="37" t="str">
        <f>'TABLAS '!B4</f>
        <v>usuario </v>
      </c>
      <c r="D9" s="7"/>
      <c r="E9" s="7"/>
      <c r="F9" s="8"/>
      <c r="G9" s="46" t="s">
        <v>8</v>
      </c>
      <c r="H9" s="7"/>
      <c r="I9" s="7"/>
      <c r="J9" s="8"/>
      <c r="K9" s="48" t="str">
        <f>'TABLAS '!C4</f>
        <v>Se refiere a los usuarios del sistema de información de la Red Pascualina. Un usuario debe tener asociado un tipo de usuario. NOTA IMPORTANTE: además de tener un tipo de usuario, debe tener un rol dentro de la Red.</v>
      </c>
    </row>
    <row r="10" ht="15.0" customHeight="1">
      <c r="A10" s="49" t="s">
        <v>5</v>
      </c>
      <c r="B10" s="49" t="s">
        <v>71</v>
      </c>
      <c r="C10" s="46" t="s">
        <v>72</v>
      </c>
      <c r="D10" s="7"/>
      <c r="E10" s="7"/>
      <c r="F10" s="8"/>
      <c r="G10" s="46" t="s">
        <v>11</v>
      </c>
      <c r="H10" s="7"/>
      <c r="I10" s="7"/>
      <c r="J10" s="8"/>
      <c r="K10" s="49" t="s">
        <v>77</v>
      </c>
    </row>
    <row r="11" ht="15.0" customHeight="1">
      <c r="A11" s="52">
        <v>1.0</v>
      </c>
      <c r="B11" s="54" t="s">
        <v>81</v>
      </c>
      <c r="C11" s="55" t="s">
        <v>86</v>
      </c>
      <c r="D11" s="57"/>
      <c r="E11" s="57"/>
      <c r="F11" s="59"/>
      <c r="G11" s="61" t="str">
        <f>'TABLAS '!C4</f>
        <v>Se refiere a los usuarios del sistema de información de la Red Pascualina. Un usuario debe tener asociado un tipo de usuario. NOTA IMPORTANTE: además de tener un tipo de usuario, debe tener un rol dentro de la Red.</v>
      </c>
      <c r="H11" s="22"/>
      <c r="I11" s="22"/>
      <c r="J11" s="23"/>
      <c r="K11" s="54" t="s">
        <v>101</v>
      </c>
    </row>
    <row r="12" ht="15.0" customHeight="1">
      <c r="A12" s="52">
        <v>2.0</v>
      </c>
      <c r="B12" s="54" t="s">
        <v>102</v>
      </c>
      <c r="C12" s="62" t="s">
        <v>103</v>
      </c>
      <c r="D12" s="28"/>
      <c r="E12" s="28"/>
      <c r="F12" s="29"/>
      <c r="G12" s="25"/>
      <c r="J12" s="26"/>
      <c r="K12" s="54" t="s">
        <v>104</v>
      </c>
    </row>
    <row r="13" ht="15.0" customHeight="1">
      <c r="A13" s="52">
        <v>3.0</v>
      </c>
      <c r="B13" s="54" t="s">
        <v>105</v>
      </c>
      <c r="C13" s="64" t="s">
        <v>106</v>
      </c>
      <c r="D13" s="28"/>
      <c r="E13" s="28"/>
      <c r="F13" s="29"/>
      <c r="G13" s="25"/>
      <c r="J13" s="26"/>
      <c r="K13" s="54" t="s">
        <v>104</v>
      </c>
    </row>
    <row r="14" ht="15.0" customHeight="1">
      <c r="A14" s="48">
        <v>4.0</v>
      </c>
      <c r="B14" s="54" t="s">
        <v>107</v>
      </c>
      <c r="C14" s="62" t="s">
        <v>108</v>
      </c>
      <c r="D14" s="28"/>
      <c r="E14" s="28"/>
      <c r="F14" s="29"/>
      <c r="G14" s="25"/>
      <c r="J14" s="26"/>
      <c r="K14" s="54" t="s">
        <v>109</v>
      </c>
    </row>
    <row r="15" ht="15.0" customHeight="1">
      <c r="A15" s="52">
        <v>5.0</v>
      </c>
      <c r="B15" s="54" t="s">
        <v>110</v>
      </c>
      <c r="C15" s="66" t="s">
        <v>111</v>
      </c>
      <c r="D15" s="7"/>
      <c r="E15" s="7"/>
      <c r="F15" s="8"/>
      <c r="G15" s="25"/>
      <c r="J15" s="26"/>
      <c r="K15" s="67"/>
    </row>
    <row r="16" ht="15.0" customHeight="1">
      <c r="A16" s="48">
        <v>6.0</v>
      </c>
      <c r="B16" s="54" t="s">
        <v>112</v>
      </c>
      <c r="C16" s="66" t="s">
        <v>113</v>
      </c>
      <c r="D16" s="7"/>
      <c r="E16" s="7"/>
      <c r="F16" s="8"/>
      <c r="G16" s="25"/>
      <c r="J16" s="26"/>
      <c r="K16" s="67"/>
    </row>
    <row r="17" ht="15.0" customHeight="1">
      <c r="A17" s="52">
        <v>7.0</v>
      </c>
      <c r="B17" s="54" t="s">
        <v>114</v>
      </c>
      <c r="C17" s="70" t="s">
        <v>115</v>
      </c>
      <c r="D17" s="7"/>
      <c r="E17" s="7"/>
      <c r="F17" s="8"/>
      <c r="G17" s="25"/>
      <c r="J17" s="26"/>
      <c r="K17" s="67"/>
    </row>
    <row r="18" ht="15.0" customHeight="1">
      <c r="A18" s="48">
        <v>8.0</v>
      </c>
      <c r="B18" s="54" t="s">
        <v>116</v>
      </c>
      <c r="C18" s="70" t="s">
        <v>117</v>
      </c>
      <c r="D18" s="7"/>
      <c r="E18" s="7"/>
      <c r="F18" s="8"/>
      <c r="G18" s="27"/>
      <c r="H18" s="28"/>
      <c r="I18" s="28"/>
      <c r="J18" s="29"/>
      <c r="K18" s="67"/>
    </row>
    <row r="19" ht="15.0" customHeight="1">
      <c r="A19" s="72"/>
      <c r="B19" s="7"/>
      <c r="C19" s="7"/>
      <c r="D19" s="7"/>
      <c r="E19" s="7"/>
      <c r="F19" s="7"/>
      <c r="G19" s="7"/>
      <c r="H19" s="7"/>
      <c r="I19" s="7"/>
      <c r="J19" s="7"/>
      <c r="K19" s="8"/>
    </row>
    <row r="20" ht="15.0" customHeight="1">
      <c r="A20" s="40">
        <v>2.0</v>
      </c>
      <c r="B20" s="41" t="s">
        <v>7</v>
      </c>
      <c r="C20" s="37" t="str">
        <f>'TABLAS '!B5</f>
        <v>rol </v>
      </c>
      <c r="D20" s="7"/>
      <c r="E20" s="7"/>
      <c r="F20" s="8"/>
      <c r="G20" s="46" t="s">
        <v>8</v>
      </c>
      <c r="H20" s="7"/>
      <c r="I20" s="7"/>
      <c r="J20" s="8"/>
      <c r="K20" s="48" t="str">
        <f>'TABLAS '!C5</f>
        <v>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v>
      </c>
    </row>
    <row r="21" ht="15.0" customHeight="1">
      <c r="A21" s="49" t="s">
        <v>5</v>
      </c>
      <c r="B21" s="49" t="s">
        <v>71</v>
      </c>
      <c r="C21" s="46" t="s">
        <v>72</v>
      </c>
      <c r="D21" s="7"/>
      <c r="E21" s="7"/>
      <c r="F21" s="8"/>
      <c r="G21" s="46" t="s">
        <v>11</v>
      </c>
      <c r="H21" s="7"/>
      <c r="I21" s="7"/>
      <c r="J21" s="8"/>
      <c r="K21" s="49" t="s">
        <v>77</v>
      </c>
    </row>
    <row r="22" ht="15.0" customHeight="1">
      <c r="A22" s="52">
        <v>1.0</v>
      </c>
      <c r="B22" s="54" t="s">
        <v>105</v>
      </c>
      <c r="C22" s="75" t="s">
        <v>106</v>
      </c>
      <c r="D22" s="57"/>
      <c r="E22" s="57"/>
      <c r="F22" s="59"/>
      <c r="G22" s="76" t="str">
        <f>'TABLAS '!C5</f>
        <v>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v>
      </c>
      <c r="H22" s="22"/>
      <c r="I22" s="22"/>
      <c r="J22" s="23"/>
      <c r="K22" s="54" t="s">
        <v>101</v>
      </c>
    </row>
    <row r="23" ht="15.0" customHeight="1">
      <c r="A23" s="52">
        <v>2.0</v>
      </c>
      <c r="B23" s="54" t="s">
        <v>119</v>
      </c>
      <c r="C23" s="62" t="s">
        <v>120</v>
      </c>
      <c r="D23" s="28"/>
      <c r="E23" s="28"/>
      <c r="F23" s="29"/>
      <c r="G23" s="27"/>
      <c r="H23" s="28"/>
      <c r="I23" s="28"/>
      <c r="J23" s="29"/>
      <c r="K23" s="54" t="s">
        <v>109</v>
      </c>
    </row>
    <row r="24" ht="15.0" customHeight="1">
      <c r="A24" s="77"/>
      <c r="B24" s="7"/>
      <c r="C24" s="7"/>
      <c r="D24" s="7"/>
      <c r="E24" s="7"/>
      <c r="F24" s="7"/>
      <c r="G24" s="7"/>
      <c r="H24" s="7"/>
      <c r="I24" s="7"/>
      <c r="J24" s="7"/>
      <c r="K24" s="8"/>
    </row>
    <row r="25" ht="15.0" customHeight="1">
      <c r="A25" s="78">
        <v>3.0</v>
      </c>
      <c r="B25" s="79" t="s">
        <v>7</v>
      </c>
      <c r="C25" s="35" t="str">
        <f>'TABLAS '!B6</f>
        <v>tipo_usuario</v>
      </c>
      <c r="D25" s="7"/>
      <c r="E25" s="7"/>
      <c r="F25" s="8"/>
      <c r="G25" s="46" t="str">
        <f>G20</f>
        <v>Descripción Tabla</v>
      </c>
      <c r="H25" s="7"/>
      <c r="I25" s="7"/>
      <c r="J25" s="8"/>
      <c r="K25" s="81" t="str">
        <f>'TABLAS '!C6</f>
        <v>Estos son potenciales tipos de usuario: estudiante, docente, empleado, empresario, invitado, público en general, entre otros. Sirve para clasificación y estadística. Los ingresa el Usuario con Rol de Administrador.</v>
      </c>
    </row>
    <row r="26" ht="15.0" customHeight="1">
      <c r="A26" s="49" t="s">
        <v>5</v>
      </c>
      <c r="B26" s="49" t="s">
        <v>71</v>
      </c>
      <c r="C26" s="46" t="s">
        <v>72</v>
      </c>
      <c r="D26" s="7"/>
      <c r="E26" s="7"/>
      <c r="F26" s="8"/>
      <c r="G26" s="46" t="s">
        <v>11</v>
      </c>
      <c r="H26" s="7"/>
      <c r="I26" s="7"/>
      <c r="J26" s="8"/>
      <c r="K26" s="49" t="s">
        <v>77</v>
      </c>
    </row>
    <row r="27" ht="15.0" customHeight="1">
      <c r="A27" s="52">
        <v>1.0</v>
      </c>
      <c r="B27" s="54" t="s">
        <v>102</v>
      </c>
      <c r="C27" s="70" t="s">
        <v>121</v>
      </c>
      <c r="D27" s="7"/>
      <c r="E27" s="7"/>
      <c r="F27" s="8"/>
      <c r="G27" s="76" t="str">
        <f>'TABLAS '!C6</f>
        <v>Estos son potenciales tipos de usuario: estudiante, docente, empleado, empresario, invitado, público en general, entre otros. Sirve para clasificación y estadística. Los ingresa el Usuario con Rol de Administrador.</v>
      </c>
      <c r="H27" s="22"/>
      <c r="I27" s="22"/>
      <c r="J27" s="23"/>
      <c r="K27" s="54" t="s">
        <v>101</v>
      </c>
    </row>
    <row r="28" ht="15.0" customHeight="1">
      <c r="A28" s="52">
        <v>2.0</v>
      </c>
      <c r="B28" s="54" t="s">
        <v>122</v>
      </c>
      <c r="C28" s="70" t="s">
        <v>123</v>
      </c>
      <c r="D28" s="7"/>
      <c r="E28" s="7"/>
      <c r="F28" s="8"/>
      <c r="G28" s="27"/>
      <c r="H28" s="28"/>
      <c r="I28" s="28"/>
      <c r="J28" s="29"/>
      <c r="K28" s="54"/>
    </row>
    <row r="29" ht="15.0" customHeight="1">
      <c r="A29" s="82"/>
      <c r="B29" s="7"/>
      <c r="C29" s="7"/>
      <c r="D29" s="7"/>
      <c r="E29" s="7"/>
      <c r="F29" s="7"/>
      <c r="G29" s="7"/>
      <c r="H29" s="7"/>
      <c r="I29" s="7"/>
      <c r="J29" s="7"/>
      <c r="K29" s="8"/>
    </row>
    <row r="30" ht="15.0" customHeight="1">
      <c r="A30" s="83">
        <v>4.0</v>
      </c>
      <c r="B30" s="41" t="s">
        <v>7</v>
      </c>
      <c r="C30" s="37" t="str">
        <f>'TABLAS '!B7</f>
        <v>perfil </v>
      </c>
      <c r="D30" s="7"/>
      <c r="E30" s="7"/>
      <c r="F30" s="8"/>
      <c r="G30" s="46" t="s">
        <v>8</v>
      </c>
      <c r="H30" s="7"/>
      <c r="I30" s="7"/>
      <c r="J30" s="8"/>
      <c r="K30" s="52" t="str">
        <f>'TABLAS '!C7</f>
        <v>Compartir su área de estudio, intereses, habilidades en diferentes disciplinas o deportes, etc. Estos perfiles permiten conectar con compañeros para encontrar y seguir a otros estudiantes con intereses y/o actividades similares.</v>
      </c>
    </row>
    <row r="31" ht="15.0" customHeight="1">
      <c r="A31" s="49" t="s">
        <v>5</v>
      </c>
      <c r="B31" s="49" t="s">
        <v>71</v>
      </c>
      <c r="C31" s="46" t="s">
        <v>72</v>
      </c>
      <c r="D31" s="7"/>
      <c r="E31" s="7"/>
      <c r="F31" s="8"/>
      <c r="G31" s="46" t="s">
        <v>11</v>
      </c>
      <c r="H31" s="7"/>
      <c r="I31" s="7"/>
      <c r="J31" s="8"/>
      <c r="K31" s="49" t="s">
        <v>77</v>
      </c>
    </row>
    <row r="32" ht="15.0" customHeight="1">
      <c r="A32" s="48">
        <v>1.0</v>
      </c>
      <c r="B32" s="54" t="s">
        <v>124</v>
      </c>
      <c r="C32" s="62" t="s">
        <v>125</v>
      </c>
      <c r="D32" s="28"/>
      <c r="E32" s="28"/>
      <c r="F32" s="29"/>
      <c r="G32" s="61" t="str">
        <f>'TABLAS '!C7</f>
        <v>Compartir su área de estudio, intereses, habilidades en diferentes disciplinas o deportes, etc. Estos perfiles permiten conectar con compañeros para encontrar y seguir a otros estudiantes con intereses y/o actividades similares.</v>
      </c>
      <c r="H32" s="22"/>
      <c r="I32" s="22"/>
      <c r="J32" s="23"/>
      <c r="K32" s="54" t="s">
        <v>101</v>
      </c>
    </row>
    <row r="33" ht="15.0" customHeight="1">
      <c r="A33" s="48">
        <v>2.0</v>
      </c>
      <c r="B33" s="54" t="str">
        <f>B11</f>
        <v>id_usuario</v>
      </c>
      <c r="C33" s="62" t="s">
        <v>127</v>
      </c>
      <c r="D33" s="28"/>
      <c r="E33" s="28"/>
      <c r="F33" s="29"/>
      <c r="G33" s="25"/>
      <c r="J33" s="26"/>
      <c r="K33" s="54" t="s">
        <v>104</v>
      </c>
    </row>
    <row r="34" ht="15.0" customHeight="1">
      <c r="A34" s="48">
        <v>3.0</v>
      </c>
      <c r="B34" s="54" t="s">
        <v>128</v>
      </c>
      <c r="C34" s="62" t="s">
        <v>129</v>
      </c>
      <c r="D34" s="28"/>
      <c r="E34" s="28"/>
      <c r="F34" s="29"/>
      <c r="G34" s="27"/>
      <c r="H34" s="28"/>
      <c r="I34" s="28"/>
      <c r="J34" s="29"/>
      <c r="K34" s="67"/>
    </row>
    <row r="35" ht="15.0" customHeight="1">
      <c r="A35" s="52"/>
      <c r="B35" s="67"/>
      <c r="C35" s="37"/>
      <c r="D35" s="7"/>
      <c r="E35" s="7"/>
      <c r="F35" s="8"/>
      <c r="G35" s="37"/>
      <c r="H35" s="7"/>
      <c r="I35" s="7"/>
      <c r="J35" s="8"/>
      <c r="K35" s="67"/>
    </row>
    <row r="36" ht="15.0" customHeight="1">
      <c r="A36" s="83">
        <v>5.0</v>
      </c>
      <c r="B36" s="41" t="s">
        <v>7</v>
      </c>
      <c r="C36" s="37" t="str">
        <f>'TABLAS '!B8</f>
        <v>publicacion </v>
      </c>
      <c r="D36" s="7"/>
      <c r="E36" s="7"/>
      <c r="F36" s="8"/>
      <c r="G36" s="46" t="s">
        <v>8</v>
      </c>
      <c r="H36" s="7"/>
      <c r="I36" s="7"/>
      <c r="J36" s="8"/>
      <c r="K36" s="52" t="str">
        <f>'TABLAS '!C8</f>
        <v>Compartir preguntas sobre tareas, recursos útiles, noticias de la industria tecnológica o incluso memes relevantes para la vida universitaria, entre otros. Las ingresa el usuario participante.</v>
      </c>
    </row>
    <row r="37" ht="15.0" customHeight="1">
      <c r="A37" s="49" t="s">
        <v>5</v>
      </c>
      <c r="B37" s="49" t="s">
        <v>71</v>
      </c>
      <c r="C37" s="46" t="s">
        <v>72</v>
      </c>
      <c r="D37" s="7"/>
      <c r="E37" s="7"/>
      <c r="F37" s="8"/>
      <c r="G37" s="46" t="s">
        <v>11</v>
      </c>
      <c r="H37" s="7"/>
      <c r="I37" s="7"/>
      <c r="J37" s="8"/>
      <c r="K37" s="49" t="s">
        <v>77</v>
      </c>
    </row>
    <row r="38" ht="15.0" customHeight="1">
      <c r="A38" s="48">
        <v>1.0</v>
      </c>
      <c r="B38" s="54" t="s">
        <v>130</v>
      </c>
      <c r="C38" s="64" t="s">
        <v>131</v>
      </c>
      <c r="D38" s="28"/>
      <c r="E38" s="28"/>
      <c r="F38" s="29"/>
      <c r="G38" s="76" t="str">
        <f>'TABLAS '!C7</f>
        <v>Compartir su área de estudio, intereses, habilidades en diferentes disciplinas o deportes, etc. Estos perfiles permiten conectar con compañeros para encontrar y seguir a otros estudiantes con intereses y/o actividades similares.</v>
      </c>
      <c r="H38" s="22"/>
      <c r="I38" s="22"/>
      <c r="J38" s="23"/>
      <c r="K38" s="54" t="s">
        <v>101</v>
      </c>
    </row>
    <row r="39" ht="15.0" customHeight="1">
      <c r="A39" s="48">
        <v>2.0</v>
      </c>
      <c r="B39" s="67" t="str">
        <f>B11</f>
        <v>id_usuario</v>
      </c>
      <c r="C39" s="64" t="s">
        <v>132</v>
      </c>
      <c r="D39" s="28"/>
      <c r="E39" s="28"/>
      <c r="F39" s="29"/>
      <c r="G39" s="25"/>
      <c r="J39" s="26"/>
      <c r="K39" s="54" t="s">
        <v>104</v>
      </c>
    </row>
    <row r="40" ht="15.0" customHeight="1">
      <c r="A40" s="48">
        <v>3.0</v>
      </c>
      <c r="B40" s="54" t="s">
        <v>133</v>
      </c>
      <c r="C40" s="64" t="s">
        <v>134</v>
      </c>
      <c r="D40" s="28"/>
      <c r="E40" s="28"/>
      <c r="F40" s="29"/>
      <c r="G40" s="25"/>
      <c r="J40" s="26"/>
      <c r="K40" s="67"/>
    </row>
    <row r="41" ht="15.0" customHeight="1">
      <c r="A41" s="48">
        <v>4.0</v>
      </c>
      <c r="B41" s="54" t="s">
        <v>135</v>
      </c>
      <c r="C41" s="64" t="s">
        <v>136</v>
      </c>
      <c r="D41" s="28"/>
      <c r="E41" s="28"/>
      <c r="F41" s="29"/>
      <c r="G41" s="27"/>
      <c r="H41" s="28"/>
      <c r="I41" s="28"/>
      <c r="J41" s="29"/>
      <c r="K41" s="67"/>
    </row>
    <row r="42" ht="15.0" customHeight="1">
      <c r="A42" s="67"/>
      <c r="B42" s="67"/>
      <c r="C42" s="37"/>
      <c r="D42" s="7"/>
      <c r="E42" s="7"/>
      <c r="F42" s="8"/>
      <c r="G42" s="37"/>
      <c r="H42" s="7"/>
      <c r="I42" s="7"/>
      <c r="J42" s="8"/>
      <c r="K42" s="67"/>
    </row>
    <row r="43" ht="15.0" customHeight="1">
      <c r="A43" s="83">
        <v>6.0</v>
      </c>
      <c r="B43" s="41" t="s">
        <v>7</v>
      </c>
      <c r="C43" s="37" t="str">
        <f>'TABLAS '!B9</f>
        <v>comentario </v>
      </c>
      <c r="D43" s="7"/>
      <c r="E43" s="7"/>
      <c r="F43" s="8"/>
      <c r="G43" s="46" t="s">
        <v>8</v>
      </c>
      <c r="H43" s="7"/>
      <c r="I43" s="7"/>
      <c r="J43" s="8"/>
      <c r="K43" s="52" t="str">
        <f>'TABLAS '!C9</f>
        <v>Comentarios que se hacen a las publicaciones. Ejemplo: un estudiante publica una nota sobre la participación de Colombia en el Mundial de Fútbol; otros usuarios pueden comentar esta publicación</v>
      </c>
    </row>
    <row r="44" ht="15.0" customHeight="1">
      <c r="A44" s="49" t="s">
        <v>5</v>
      </c>
      <c r="B44" s="49" t="s">
        <v>71</v>
      </c>
      <c r="C44" s="46" t="s">
        <v>72</v>
      </c>
      <c r="D44" s="7"/>
      <c r="E44" s="7"/>
      <c r="F44" s="8"/>
      <c r="G44" s="46" t="s">
        <v>11</v>
      </c>
      <c r="H44" s="7"/>
      <c r="I44" s="7"/>
      <c r="J44" s="8"/>
      <c r="K44" s="49" t="s">
        <v>77</v>
      </c>
    </row>
    <row r="45" ht="15.0" customHeight="1">
      <c r="A45" s="48">
        <v>1.0</v>
      </c>
      <c r="B45" s="54" t="s">
        <v>137</v>
      </c>
      <c r="C45" s="62" t="s">
        <v>138</v>
      </c>
      <c r="D45" s="28"/>
      <c r="E45" s="28"/>
      <c r="F45" s="29"/>
      <c r="G45" s="76" t="str">
        <f>'TABLAS '!C9</f>
        <v>Comentarios que se hacen a las publicaciones. Ejemplo: un estudiante publica una nota sobre la participación de Colombia en el Mundial de Fútbol; otros usuarios pueden comentar esta publicación</v>
      </c>
      <c r="H45" s="22"/>
      <c r="I45" s="22"/>
      <c r="J45" s="23"/>
      <c r="K45" s="54" t="s">
        <v>101</v>
      </c>
    </row>
    <row r="46" ht="15.0" customHeight="1">
      <c r="A46" s="48">
        <v>2.0</v>
      </c>
      <c r="B46" s="54" t="s">
        <v>81</v>
      </c>
      <c r="C46" s="64" t="s">
        <v>139</v>
      </c>
      <c r="D46" s="28"/>
      <c r="E46" s="28"/>
      <c r="F46" s="29"/>
      <c r="G46" s="25"/>
      <c r="J46" s="26"/>
      <c r="K46" s="54" t="s">
        <v>104</v>
      </c>
    </row>
    <row r="47" ht="15.0" customHeight="1">
      <c r="A47" s="48">
        <v>3.0</v>
      </c>
      <c r="B47" s="54" t="s">
        <v>130</v>
      </c>
      <c r="C47" s="62" t="s">
        <v>140</v>
      </c>
      <c r="D47" s="28"/>
      <c r="E47" s="28"/>
      <c r="F47" s="29"/>
      <c r="G47" s="25"/>
      <c r="J47" s="26"/>
      <c r="K47" s="54" t="s">
        <v>104</v>
      </c>
    </row>
    <row r="48" ht="15.0" customHeight="1">
      <c r="A48" s="48">
        <v>4.0</v>
      </c>
      <c r="B48" s="54" t="s">
        <v>133</v>
      </c>
      <c r="C48" s="62" t="s">
        <v>141</v>
      </c>
      <c r="D48" s="28"/>
      <c r="E48" s="28"/>
      <c r="F48" s="29"/>
      <c r="G48" s="25"/>
      <c r="J48" s="26"/>
      <c r="K48" s="67"/>
    </row>
    <row r="49" ht="15.0" customHeight="1">
      <c r="A49" s="48">
        <v>5.0</v>
      </c>
      <c r="B49" s="54" t="s">
        <v>135</v>
      </c>
      <c r="C49" s="86" t="s">
        <v>142</v>
      </c>
      <c r="D49" s="7"/>
      <c r="E49" s="7"/>
      <c r="F49" s="8"/>
      <c r="G49" s="27"/>
      <c r="H49" s="28"/>
      <c r="I49" s="28"/>
      <c r="J49" s="29"/>
      <c r="K49" s="67"/>
    </row>
    <row r="50" ht="15.0" customHeight="1">
      <c r="A50" s="67"/>
      <c r="B50" s="67"/>
      <c r="C50" s="37"/>
      <c r="D50" s="7"/>
      <c r="E50" s="7"/>
      <c r="F50" s="8"/>
      <c r="G50" s="37"/>
      <c r="H50" s="7"/>
      <c r="I50" s="7"/>
      <c r="J50" s="8"/>
      <c r="K50" s="67"/>
    </row>
    <row r="51" ht="15.0" customHeight="1">
      <c r="A51" s="83">
        <v>7.0</v>
      </c>
      <c r="B51" s="41" t="s">
        <v>7</v>
      </c>
      <c r="C51" s="37" t="str">
        <f>'TABLAS '!B10</f>
        <v>grupo </v>
      </c>
      <c r="D51" s="7"/>
      <c r="E51" s="7"/>
      <c r="F51" s="8"/>
      <c r="G51" s="46" t="s">
        <v>8</v>
      </c>
      <c r="H51" s="7"/>
      <c r="I51" s="7"/>
      <c r="J51" s="8"/>
      <c r="K51" s="52" t="str">
        <f>'TABLAS '!C10</f>
        <v>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v>
      </c>
    </row>
    <row r="52" ht="15.0" customHeight="1">
      <c r="A52" s="49" t="s">
        <v>5</v>
      </c>
      <c r="B52" s="49" t="s">
        <v>71</v>
      </c>
      <c r="C52" s="46" t="s">
        <v>72</v>
      </c>
      <c r="D52" s="7"/>
      <c r="E52" s="7"/>
      <c r="F52" s="8"/>
      <c r="G52" s="46" t="s">
        <v>11</v>
      </c>
      <c r="H52" s="7"/>
      <c r="I52" s="7"/>
      <c r="J52" s="8"/>
      <c r="K52" s="49" t="s">
        <v>77</v>
      </c>
    </row>
    <row r="53" ht="15.0" customHeight="1">
      <c r="A53" s="48">
        <v>1.0</v>
      </c>
      <c r="B53" s="54" t="s">
        <v>143</v>
      </c>
      <c r="C53" s="64" t="s">
        <v>144</v>
      </c>
      <c r="D53" s="28"/>
      <c r="E53" s="28"/>
      <c r="F53" s="29"/>
      <c r="G53" s="76" t="str">
        <f>'TABLAS '!C10</f>
        <v>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v>
      </c>
      <c r="H53" s="22"/>
      <c r="I53" s="22"/>
      <c r="J53" s="23"/>
      <c r="K53" s="54" t="s">
        <v>101</v>
      </c>
    </row>
    <row r="54" ht="15.0" customHeight="1">
      <c r="A54" s="48">
        <v>2.0</v>
      </c>
      <c r="B54" s="54" t="s">
        <v>124</v>
      </c>
      <c r="C54" s="62" t="s">
        <v>145</v>
      </c>
      <c r="D54" s="28"/>
      <c r="E54" s="28"/>
      <c r="F54" s="29"/>
      <c r="G54" s="25"/>
      <c r="J54" s="26"/>
      <c r="K54" s="54" t="s">
        <v>104</v>
      </c>
    </row>
    <row r="55" ht="15.0" customHeight="1">
      <c r="A55" s="48">
        <v>3.0</v>
      </c>
      <c r="B55" s="54" t="s">
        <v>146</v>
      </c>
      <c r="C55" s="64" t="s">
        <v>147</v>
      </c>
      <c r="D55" s="28"/>
      <c r="E55" s="28"/>
      <c r="F55" s="29"/>
      <c r="G55" s="27"/>
      <c r="H55" s="28"/>
      <c r="I55" s="28"/>
      <c r="J55" s="29"/>
      <c r="K55" s="67"/>
    </row>
    <row r="56" ht="15.0" customHeight="1">
      <c r="A56" s="67"/>
      <c r="B56" s="67"/>
      <c r="C56" s="37"/>
      <c r="D56" s="7"/>
      <c r="E56" s="7"/>
      <c r="F56" s="8"/>
      <c r="G56" s="37"/>
      <c r="H56" s="7"/>
      <c r="I56" s="7"/>
      <c r="J56" s="8"/>
      <c r="K56" s="67"/>
    </row>
    <row r="57" ht="15.0" customHeight="1">
      <c r="A57" s="83">
        <v>8.0</v>
      </c>
      <c r="B57" s="41" t="s">
        <v>7</v>
      </c>
      <c r="C57" s="37" t="str">
        <f>'TABLAS '!B11</f>
        <v>servicio</v>
      </c>
      <c r="D57" s="7"/>
      <c r="E57" s="7"/>
      <c r="F57" s="8"/>
      <c r="G57" s="46" t="s">
        <v>8</v>
      </c>
      <c r="H57" s="7"/>
      <c r="I57" s="7"/>
      <c r="J57" s="8"/>
      <c r="K57" s="52" t="str">
        <f>'TABLAS '!C12</f>
        <v>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v>
      </c>
    </row>
    <row r="58" ht="15.0" customHeight="1">
      <c r="A58" s="49" t="s">
        <v>5</v>
      </c>
      <c r="B58" s="49" t="s">
        <v>71</v>
      </c>
      <c r="C58" s="46" t="s">
        <v>72</v>
      </c>
      <c r="D58" s="7"/>
      <c r="E58" s="7"/>
      <c r="F58" s="8"/>
      <c r="G58" s="46" t="s">
        <v>11</v>
      </c>
      <c r="H58" s="7"/>
      <c r="I58" s="7"/>
      <c r="J58" s="8"/>
      <c r="K58" s="49" t="s">
        <v>77</v>
      </c>
    </row>
    <row r="59" ht="15.0" customHeight="1">
      <c r="A59" s="48">
        <v>1.0</v>
      </c>
      <c r="B59" s="54" t="s">
        <v>148</v>
      </c>
      <c r="C59" s="87" t="s">
        <v>149</v>
      </c>
      <c r="D59" s="7"/>
      <c r="E59" s="7"/>
      <c r="F59" s="8"/>
      <c r="G59" s="76" t="str">
        <f>'TABLAS '!C11</f>
        <v>Los servicios los ofrece un usuario. Debe tener asociado un “Tipo de Servicio” con su descripción y precio (duración y ubicación si aplica). Los ingresa el usuario participante.</v>
      </c>
      <c r="H59" s="22"/>
      <c r="I59" s="22"/>
      <c r="J59" s="23"/>
      <c r="K59" s="54" t="s">
        <v>101</v>
      </c>
    </row>
    <row r="60" ht="15.0" customHeight="1">
      <c r="A60" s="48">
        <v>2.0</v>
      </c>
      <c r="B60" s="54" t="s">
        <v>150</v>
      </c>
      <c r="C60" s="87" t="s">
        <v>151</v>
      </c>
      <c r="D60" s="7"/>
      <c r="E60" s="7"/>
      <c r="F60" s="8"/>
      <c r="G60" s="25"/>
      <c r="J60" s="26"/>
      <c r="K60" s="54" t="s">
        <v>104</v>
      </c>
    </row>
    <row r="61" ht="15.0" customHeight="1">
      <c r="A61" s="48">
        <v>3.0</v>
      </c>
      <c r="B61" s="54" t="s">
        <v>81</v>
      </c>
      <c r="C61" s="87" t="s">
        <v>152</v>
      </c>
      <c r="D61" s="7"/>
      <c r="E61" s="7"/>
      <c r="F61" s="8"/>
      <c r="G61" s="25"/>
      <c r="J61" s="26"/>
      <c r="K61" s="54" t="s">
        <v>104</v>
      </c>
    </row>
    <row r="62" ht="15.0" customHeight="1">
      <c r="A62" s="48">
        <v>4.0</v>
      </c>
      <c r="B62" s="54" t="s">
        <v>153</v>
      </c>
      <c r="C62" s="88" t="s">
        <v>154</v>
      </c>
      <c r="D62" s="28"/>
      <c r="E62" s="28"/>
      <c r="F62" s="29"/>
      <c r="G62" s="25"/>
      <c r="J62" s="26"/>
      <c r="K62" s="67"/>
    </row>
    <row r="63" ht="15.0" customHeight="1">
      <c r="A63" s="48">
        <v>5.0</v>
      </c>
      <c r="B63" s="54" t="s">
        <v>128</v>
      </c>
      <c r="C63" s="88" t="s">
        <v>155</v>
      </c>
      <c r="D63" s="28"/>
      <c r="E63" s="28"/>
      <c r="F63" s="29"/>
      <c r="G63" s="27"/>
      <c r="H63" s="28"/>
      <c r="I63" s="28"/>
      <c r="J63" s="29"/>
      <c r="K63" s="67"/>
    </row>
    <row r="64" ht="15.0" customHeight="1">
      <c r="A64" s="67"/>
      <c r="B64" s="67"/>
      <c r="C64" s="37"/>
      <c r="D64" s="7"/>
      <c r="E64" s="7"/>
      <c r="F64" s="8"/>
      <c r="G64" s="37"/>
      <c r="H64" s="7"/>
      <c r="I64" s="7"/>
      <c r="J64" s="8"/>
      <c r="K64" s="67"/>
    </row>
    <row r="65" ht="15.0" customHeight="1">
      <c r="A65" s="83">
        <v>9.0</v>
      </c>
      <c r="B65" s="41" t="s">
        <v>7</v>
      </c>
      <c r="C65" s="37" t="str">
        <f>'TABLAS '!B12</f>
        <v>tipo_servicio</v>
      </c>
      <c r="D65" s="7"/>
      <c r="E65" s="7"/>
      <c r="F65" s="8"/>
      <c r="G65" s="46" t="s">
        <v>8</v>
      </c>
      <c r="H65" s="7"/>
      <c r="I65" s="7"/>
      <c r="J65" s="8"/>
      <c r="K65" s="52" t="str">
        <f>'TABLAS '!C11</f>
        <v>Los servicios los ofrece un usuario. Debe tener asociado un “Tipo de Servicio” con su descripción y precio (duración y ubicación si aplica). Los ingresa el usuario participante.</v>
      </c>
    </row>
    <row r="66" ht="15.0" customHeight="1">
      <c r="A66" s="49" t="s">
        <v>5</v>
      </c>
      <c r="B66" s="49" t="s">
        <v>71</v>
      </c>
      <c r="C66" s="46" t="s">
        <v>72</v>
      </c>
      <c r="D66" s="7"/>
      <c r="E66" s="7"/>
      <c r="F66" s="8"/>
      <c r="G66" s="46" t="s">
        <v>11</v>
      </c>
      <c r="H66" s="7"/>
      <c r="I66" s="7"/>
      <c r="J66" s="8"/>
      <c r="K66" s="49" t="s">
        <v>77</v>
      </c>
    </row>
    <row r="67" ht="15.0" customHeight="1">
      <c r="A67" s="48">
        <v>1.0</v>
      </c>
      <c r="B67" s="89" t="s">
        <v>150</v>
      </c>
      <c r="C67" s="90" t="s">
        <v>151</v>
      </c>
      <c r="D67" s="7"/>
      <c r="E67" s="7"/>
      <c r="F67" s="8"/>
      <c r="G67" s="76" t="str">
        <f>'TABLAS '!C12</f>
        <v>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v>
      </c>
      <c r="H67" s="22"/>
      <c r="I67" s="22"/>
      <c r="J67" s="23"/>
      <c r="K67" s="54" t="s">
        <v>101</v>
      </c>
    </row>
    <row r="68" ht="15.0" customHeight="1">
      <c r="A68" s="48">
        <v>2.0</v>
      </c>
      <c r="B68" s="89" t="s">
        <v>122</v>
      </c>
      <c r="C68" s="90" t="s">
        <v>156</v>
      </c>
      <c r="D68" s="7"/>
      <c r="E68" s="7"/>
      <c r="F68" s="8"/>
      <c r="G68" s="27"/>
      <c r="H68" s="28"/>
      <c r="I68" s="28"/>
      <c r="J68" s="29"/>
      <c r="K68" s="54" t="s">
        <v>109</v>
      </c>
    </row>
    <row r="69" ht="15.0" customHeight="1">
      <c r="A69" s="67"/>
      <c r="B69" s="67"/>
      <c r="C69" s="37"/>
      <c r="D69" s="7"/>
      <c r="E69" s="7"/>
      <c r="F69" s="8"/>
      <c r="G69" s="37"/>
      <c r="H69" s="7"/>
      <c r="I69" s="7"/>
      <c r="J69" s="8"/>
      <c r="K69" s="67"/>
    </row>
    <row r="70" ht="15.0" customHeight="1">
      <c r="A70" s="83">
        <v>10.0</v>
      </c>
      <c r="B70" s="41" t="s">
        <v>7</v>
      </c>
      <c r="C70" s="37" t="str">
        <f>'TABLAS '!B13</f>
        <v>producto</v>
      </c>
      <c r="D70" s="7"/>
      <c r="E70" s="7"/>
      <c r="F70" s="8"/>
      <c r="G70" s="46" t="s">
        <v>8</v>
      </c>
      <c r="H70" s="7"/>
      <c r="I70" s="7"/>
      <c r="J70" s="8"/>
      <c r="K70" s="52" t="str">
        <f>'TABLAS '!C14</f>
        <v>Libros, motocicleta, ropa, ticket para concierto, entre otros. Sirve para clasificación y estadística. Sirve para clasificación y estadística. Los ingresa el Usuario con Rol de Administrador. </v>
      </c>
    </row>
    <row r="71" ht="15.0" customHeight="1">
      <c r="A71" s="49" t="s">
        <v>5</v>
      </c>
      <c r="B71" s="49" t="s">
        <v>71</v>
      </c>
      <c r="C71" s="46" t="s">
        <v>72</v>
      </c>
      <c r="D71" s="7"/>
      <c r="E71" s="7"/>
      <c r="F71" s="8"/>
      <c r="G71" s="46" t="s">
        <v>11</v>
      </c>
      <c r="H71" s="7"/>
      <c r="I71" s="7"/>
      <c r="J71" s="8"/>
      <c r="K71" s="49" t="s">
        <v>77</v>
      </c>
    </row>
    <row r="72" ht="15.0" customHeight="1">
      <c r="A72" s="48">
        <v>1.0</v>
      </c>
      <c r="B72" s="89" t="s">
        <v>157</v>
      </c>
      <c r="C72" s="64" t="s">
        <v>158</v>
      </c>
      <c r="D72" s="28"/>
      <c r="E72" s="28"/>
      <c r="F72" s="29"/>
      <c r="G72" s="76" t="str">
        <f>'TABLAS '!C13</f>
        <v>Los usuarios pueden postear productos para la venta y otros usuarios pueden comprar. El producto debe tener asociado un “Tipo de Producto”. Sigue el mismo formato de los servicios y tipos de servicio. Los ingresa el usuario participante.</v>
      </c>
      <c r="H72" s="22"/>
      <c r="I72" s="22"/>
      <c r="J72" s="23"/>
      <c r="K72" s="54" t="s">
        <v>101</v>
      </c>
    </row>
    <row r="73" ht="15.0" customHeight="1">
      <c r="A73" s="48">
        <v>2.0</v>
      </c>
      <c r="B73" s="89" t="s">
        <v>81</v>
      </c>
      <c r="C73" s="62" t="s">
        <v>159</v>
      </c>
      <c r="D73" s="28"/>
      <c r="E73" s="28"/>
      <c r="F73" s="29"/>
      <c r="G73" s="25"/>
      <c r="J73" s="26"/>
      <c r="K73" s="54" t="s">
        <v>104</v>
      </c>
    </row>
    <row r="74" ht="15.0" customHeight="1">
      <c r="A74" s="48">
        <v>3.0</v>
      </c>
      <c r="B74" s="91" t="s">
        <v>160</v>
      </c>
      <c r="C74" s="62" t="s">
        <v>161</v>
      </c>
      <c r="D74" s="28"/>
      <c r="E74" s="28"/>
      <c r="F74" s="29"/>
      <c r="G74" s="25"/>
      <c r="J74" s="26"/>
      <c r="K74" s="54" t="s">
        <v>104</v>
      </c>
    </row>
    <row r="75" ht="15.0" customHeight="1">
      <c r="A75" s="48">
        <v>4.0</v>
      </c>
      <c r="B75" s="89" t="s">
        <v>128</v>
      </c>
      <c r="C75" s="62" t="s">
        <v>162</v>
      </c>
      <c r="D75" s="28"/>
      <c r="E75" s="28"/>
      <c r="F75" s="29"/>
      <c r="G75" s="25"/>
      <c r="J75" s="26"/>
      <c r="K75" s="67"/>
    </row>
    <row r="76" ht="15.0" customHeight="1">
      <c r="A76" s="48">
        <v>5.0</v>
      </c>
      <c r="B76" s="89" t="s">
        <v>153</v>
      </c>
      <c r="C76" s="62" t="s">
        <v>163</v>
      </c>
      <c r="D76" s="28"/>
      <c r="E76" s="28"/>
      <c r="F76" s="29"/>
      <c r="G76" s="27"/>
      <c r="H76" s="28"/>
      <c r="I76" s="28"/>
      <c r="J76" s="29"/>
      <c r="K76" s="67"/>
    </row>
    <row r="77" ht="15.0" customHeight="1">
      <c r="A77" s="67"/>
      <c r="B77" s="67"/>
      <c r="C77" s="37"/>
      <c r="D77" s="7"/>
      <c r="E77" s="7"/>
      <c r="F77" s="8"/>
      <c r="G77" s="37"/>
      <c r="H77" s="7"/>
      <c r="I77" s="7"/>
      <c r="J77" s="8"/>
      <c r="K77" s="67"/>
    </row>
    <row r="78" ht="15.0" customHeight="1">
      <c r="A78" s="83">
        <v>11.0</v>
      </c>
      <c r="B78" s="41" t="s">
        <v>7</v>
      </c>
      <c r="C78" s="37" t="str">
        <f>'TABLAS '!B14</f>
        <v>tipo_producto</v>
      </c>
      <c r="D78" s="7"/>
      <c r="E78" s="7"/>
      <c r="F78" s="8"/>
      <c r="G78" s="46" t="s">
        <v>8</v>
      </c>
      <c r="H78" s="7"/>
      <c r="I78" s="7"/>
      <c r="J78" s="8"/>
      <c r="K78" s="52" t="str">
        <f>'TABLAS '!C13</f>
        <v>Los usuarios pueden postear productos para la venta y otros usuarios pueden comprar. El producto debe tener asociado un “Tipo de Producto”. Sigue el mismo formato de los servicios y tipos de servicio. Los ingresa el usuario participante.</v>
      </c>
    </row>
    <row r="79" ht="15.0" customHeight="1">
      <c r="A79" s="49" t="s">
        <v>5</v>
      </c>
      <c r="B79" s="49" t="s">
        <v>71</v>
      </c>
      <c r="C79" s="46" t="s">
        <v>72</v>
      </c>
      <c r="D79" s="7"/>
      <c r="E79" s="7"/>
      <c r="F79" s="8"/>
      <c r="G79" s="46" t="s">
        <v>11</v>
      </c>
      <c r="H79" s="7"/>
      <c r="I79" s="7"/>
      <c r="J79" s="8"/>
      <c r="K79" s="49" t="s">
        <v>77</v>
      </c>
    </row>
    <row r="80" ht="15.0" customHeight="1">
      <c r="A80" s="48">
        <v>1.0</v>
      </c>
      <c r="B80" s="89" t="s">
        <v>160</v>
      </c>
      <c r="C80" s="86" t="s">
        <v>161</v>
      </c>
      <c r="D80" s="7"/>
      <c r="E80" s="7"/>
      <c r="F80" s="8"/>
      <c r="G80" s="76" t="str">
        <f>'TABLAS '!C14</f>
        <v>Libros, motocicleta, ropa, ticket para concierto, entre otros. Sirve para clasificación y estadística. Sirve para clasificación y estadística. Los ingresa el Usuario con Rol de Administrador. </v>
      </c>
      <c r="H80" s="22"/>
      <c r="I80" s="22"/>
      <c r="J80" s="23"/>
      <c r="K80" s="54" t="s">
        <v>101</v>
      </c>
    </row>
    <row r="81" ht="15.0" customHeight="1">
      <c r="A81" s="48">
        <v>2.0</v>
      </c>
      <c r="B81" s="89" t="s">
        <v>122</v>
      </c>
      <c r="C81" s="93" t="s">
        <v>165</v>
      </c>
      <c r="D81" s="28"/>
      <c r="E81" s="28"/>
      <c r="F81" s="29"/>
      <c r="G81" s="27"/>
      <c r="H81" s="28"/>
      <c r="I81" s="28"/>
      <c r="J81" s="29"/>
      <c r="K81" s="54" t="s">
        <v>109</v>
      </c>
    </row>
    <row r="82" ht="15.0" customHeight="1">
      <c r="A82" s="52"/>
      <c r="B82" s="67"/>
      <c r="C82" s="37"/>
      <c r="D82" s="7"/>
      <c r="E82" s="7"/>
      <c r="F82" s="8"/>
      <c r="G82" s="37"/>
      <c r="H82" s="7"/>
      <c r="I82" s="7"/>
      <c r="J82" s="8"/>
      <c r="K82" s="67"/>
    </row>
    <row r="83" ht="15.0" customHeight="1">
      <c r="A83" s="83">
        <v>12.0</v>
      </c>
      <c r="B83" s="41" t="s">
        <v>7</v>
      </c>
      <c r="C83" s="37" t="str">
        <f>'TABLAS '!B15</f>
        <v>evento</v>
      </c>
      <c r="D83" s="7"/>
      <c r="E83" s="7"/>
      <c r="F83" s="8"/>
      <c r="G83" s="46" t="s">
        <v>8</v>
      </c>
      <c r="H83" s="7"/>
      <c r="I83" s="7"/>
      <c r="J83" s="8"/>
      <c r="K83" s="52" t="str">
        <f>'TABLAS '!C16</f>
        <v>Al igual que los anteriores casos de servicio y productos, se cumple lo mismo. El usuario Administrador ingresa los tipos de evento. Sirve para clasificación y estadística. Los ingresa el Usuario con Rol de Administrador</v>
      </c>
    </row>
    <row r="84" ht="15.0" customHeight="1">
      <c r="A84" s="49" t="s">
        <v>5</v>
      </c>
      <c r="B84" s="49" t="s">
        <v>71</v>
      </c>
      <c r="C84" s="46" t="s">
        <v>72</v>
      </c>
      <c r="D84" s="7"/>
      <c r="E84" s="7"/>
      <c r="F84" s="8"/>
      <c r="G84" s="46" t="s">
        <v>11</v>
      </c>
      <c r="H84" s="7"/>
      <c r="I84" s="7"/>
      <c r="J84" s="8"/>
      <c r="K84" s="49" t="s">
        <v>77</v>
      </c>
    </row>
    <row r="85" ht="15.0" customHeight="1">
      <c r="A85" s="48">
        <v>1.0</v>
      </c>
      <c r="B85" s="91" t="s">
        <v>167</v>
      </c>
      <c r="C85" s="62" t="s">
        <v>168</v>
      </c>
      <c r="D85" s="28"/>
      <c r="E85" s="28"/>
      <c r="F85" s="29"/>
      <c r="G85" s="76" t="str">
        <f>'TABLAS '!C15</f>
        <v>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v>
      </c>
      <c r="H85" s="22"/>
      <c r="I85" s="22"/>
      <c r="J85" s="23"/>
      <c r="K85" s="54" t="s">
        <v>101</v>
      </c>
    </row>
    <row r="86" ht="15.0" customHeight="1">
      <c r="A86" s="48">
        <v>2.0</v>
      </c>
      <c r="B86" s="89" t="s">
        <v>169</v>
      </c>
      <c r="C86" s="62" t="s">
        <v>170</v>
      </c>
      <c r="D86" s="28"/>
      <c r="E86" s="28"/>
      <c r="F86" s="29"/>
      <c r="G86" s="25"/>
      <c r="J86" s="26"/>
      <c r="K86" s="54" t="s">
        <v>104</v>
      </c>
    </row>
    <row r="87" ht="15.0" customHeight="1">
      <c r="A87" s="48">
        <v>3.0</v>
      </c>
      <c r="B87" s="89" t="s">
        <v>81</v>
      </c>
      <c r="C87" s="62" t="s">
        <v>171</v>
      </c>
      <c r="D87" s="28"/>
      <c r="E87" s="28"/>
      <c r="F87" s="29"/>
      <c r="G87" s="25"/>
      <c r="J87" s="26"/>
      <c r="K87" s="54" t="s">
        <v>104</v>
      </c>
    </row>
    <row r="88" ht="15.0" customHeight="1">
      <c r="A88" s="48">
        <v>4.0</v>
      </c>
      <c r="B88" s="91" t="s">
        <v>128</v>
      </c>
      <c r="C88" s="62" t="s">
        <v>172</v>
      </c>
      <c r="D88" s="28"/>
      <c r="E88" s="28"/>
      <c r="F88" s="29"/>
      <c r="G88" s="25"/>
      <c r="J88" s="26"/>
      <c r="K88" s="67"/>
    </row>
    <row r="89" ht="15.0" customHeight="1">
      <c r="A89" s="48">
        <v>5.0</v>
      </c>
      <c r="B89" s="91" t="s">
        <v>135</v>
      </c>
      <c r="C89" s="62" t="s">
        <v>173</v>
      </c>
      <c r="D89" s="28"/>
      <c r="E89" s="28"/>
      <c r="F89" s="29"/>
      <c r="G89" s="27"/>
      <c r="H89" s="28"/>
      <c r="I89" s="28"/>
      <c r="J89" s="29"/>
      <c r="K89" s="67"/>
    </row>
    <row r="90" ht="15.0" customHeight="1">
      <c r="A90" s="67"/>
      <c r="B90" s="67"/>
      <c r="C90" s="37"/>
      <c r="D90" s="7"/>
      <c r="E90" s="7"/>
      <c r="F90" s="8"/>
      <c r="G90" s="37"/>
      <c r="H90" s="7"/>
      <c r="I90" s="7"/>
      <c r="J90" s="8"/>
      <c r="K90" s="67"/>
    </row>
    <row r="91" ht="15.0" customHeight="1">
      <c r="A91" s="83">
        <v>13.0</v>
      </c>
      <c r="B91" s="41" t="s">
        <v>7</v>
      </c>
      <c r="C91" s="37" t="str">
        <f>'TABLAS '!B16</f>
        <v>tipo_evento</v>
      </c>
      <c r="D91" s="7"/>
      <c r="E91" s="7"/>
      <c r="F91" s="8"/>
      <c r="G91" s="46" t="s">
        <v>8</v>
      </c>
      <c r="H91" s="7"/>
      <c r="I91" s="7"/>
      <c r="J91" s="8"/>
      <c r="K91" s="52" t="str">
        <f>'TABLAS '!C15</f>
        <v>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v>
      </c>
    </row>
    <row r="92" ht="15.0" customHeight="1">
      <c r="A92" s="49" t="s">
        <v>5</v>
      </c>
      <c r="B92" s="49" t="s">
        <v>71</v>
      </c>
      <c r="C92" s="46" t="s">
        <v>72</v>
      </c>
      <c r="D92" s="7"/>
      <c r="E92" s="7"/>
      <c r="F92" s="8"/>
      <c r="G92" s="46" t="s">
        <v>11</v>
      </c>
      <c r="H92" s="7"/>
      <c r="I92" s="7"/>
      <c r="J92" s="8"/>
      <c r="K92" s="49" t="s">
        <v>77</v>
      </c>
    </row>
    <row r="93" ht="15.0" customHeight="1">
      <c r="A93" s="48">
        <v>1.0</v>
      </c>
      <c r="B93" s="89" t="s">
        <v>169</v>
      </c>
      <c r="C93" s="90" t="s">
        <v>170</v>
      </c>
      <c r="D93" s="7"/>
      <c r="E93" s="7"/>
      <c r="F93" s="8"/>
      <c r="G93" s="76" t="str">
        <f>'TABLAS '!C16</f>
        <v>Al igual que los anteriores casos de servicio y productos, se cumple lo mismo. El usuario Administrador ingresa los tipos de evento. Sirve para clasificación y estadística. Los ingresa el Usuario con Rol de Administrador</v>
      </c>
      <c r="H93" s="22"/>
      <c r="I93" s="22"/>
      <c r="J93" s="23"/>
      <c r="K93" s="54" t="s">
        <v>101</v>
      </c>
    </row>
    <row r="94" ht="15.0" customHeight="1">
      <c r="A94" s="48">
        <v>2.0</v>
      </c>
      <c r="B94" s="89" t="s">
        <v>122</v>
      </c>
      <c r="C94" s="90" t="s">
        <v>174</v>
      </c>
      <c r="D94" s="7"/>
      <c r="E94" s="7"/>
      <c r="F94" s="8"/>
      <c r="G94" s="27"/>
      <c r="H94" s="28"/>
      <c r="I94" s="28"/>
      <c r="J94" s="29"/>
      <c r="K94" s="54" t="s">
        <v>109</v>
      </c>
    </row>
    <row r="95" ht="15.0" customHeight="1">
      <c r="A95" s="52"/>
      <c r="B95" s="67"/>
      <c r="C95" s="37"/>
      <c r="D95" s="7"/>
      <c r="E95" s="7"/>
      <c r="F95" s="8"/>
      <c r="G95" s="37"/>
      <c r="H95" s="7"/>
      <c r="I95" s="7"/>
      <c r="J95" s="8"/>
      <c r="K95" s="67"/>
    </row>
    <row r="96" ht="15.0" customHeight="1">
      <c r="A96" s="83">
        <v>14.0</v>
      </c>
      <c r="B96" s="41" t="s">
        <v>7</v>
      </c>
      <c r="C96" s="37" t="str">
        <f>'TABLAS '!B17</f>
        <v>notificacion</v>
      </c>
      <c r="D96" s="7"/>
      <c r="E96" s="7"/>
      <c r="F96" s="8"/>
      <c r="G96" s="46" t="s">
        <v>8</v>
      </c>
      <c r="H96" s="7"/>
      <c r="I96" s="7"/>
      <c r="J96" s="8"/>
      <c r="K96" s="52" t="str">
        <f>'TABLAS '!C17</f>
        <v>Permite avisar a los usuarios sobre nuevas publicaciones, comentarios, eventos o servicios.</v>
      </c>
    </row>
    <row r="97" ht="15.0" customHeight="1">
      <c r="A97" s="49" t="s">
        <v>5</v>
      </c>
      <c r="B97" s="49" t="s">
        <v>71</v>
      </c>
      <c r="C97" s="46" t="s">
        <v>72</v>
      </c>
      <c r="D97" s="7"/>
      <c r="E97" s="7"/>
      <c r="F97" s="8"/>
      <c r="G97" s="46" t="s">
        <v>11</v>
      </c>
      <c r="H97" s="7"/>
      <c r="I97" s="7"/>
      <c r="J97" s="8"/>
      <c r="K97" s="49" t="s">
        <v>77</v>
      </c>
    </row>
    <row r="98" ht="15.0" customHeight="1">
      <c r="A98" s="48">
        <v>1.0</v>
      </c>
      <c r="B98" s="91" t="s">
        <v>175</v>
      </c>
      <c r="C98" s="64" t="s">
        <v>176</v>
      </c>
      <c r="D98" s="28"/>
      <c r="E98" s="28"/>
      <c r="F98" s="29"/>
      <c r="G98" s="76" t="str">
        <f>'TABLAS '!C17</f>
        <v>Permite avisar a los usuarios sobre nuevas publicaciones, comentarios, eventos o servicios.</v>
      </c>
      <c r="H98" s="22"/>
      <c r="I98" s="22"/>
      <c r="J98" s="23"/>
      <c r="K98" s="54" t="s">
        <v>101</v>
      </c>
    </row>
    <row r="99" ht="15.0" customHeight="1">
      <c r="A99" s="48">
        <v>2.0</v>
      </c>
      <c r="B99" s="89" t="s">
        <v>81</v>
      </c>
      <c r="C99" s="62" t="s">
        <v>177</v>
      </c>
      <c r="D99" s="28"/>
      <c r="E99" s="28"/>
      <c r="F99" s="29"/>
      <c r="G99" s="25"/>
      <c r="J99" s="26"/>
      <c r="K99" s="54" t="s">
        <v>104</v>
      </c>
    </row>
    <row r="100" ht="15.0" customHeight="1">
      <c r="A100" s="48">
        <v>3.0</v>
      </c>
      <c r="B100" s="89" t="s">
        <v>178</v>
      </c>
      <c r="C100" s="62" t="s">
        <v>179</v>
      </c>
      <c r="D100" s="28"/>
      <c r="E100" s="28"/>
      <c r="F100" s="29"/>
      <c r="G100" s="25"/>
      <c r="J100" s="26"/>
      <c r="K100" s="67"/>
    </row>
    <row r="101" ht="15.0" customHeight="1">
      <c r="A101" s="48">
        <v>4.0</v>
      </c>
      <c r="B101" s="89" t="s">
        <v>135</v>
      </c>
      <c r="C101" s="62" t="s">
        <v>180</v>
      </c>
      <c r="D101" s="28"/>
      <c r="E101" s="28"/>
      <c r="F101" s="29"/>
      <c r="G101" s="27"/>
      <c r="H101" s="28"/>
      <c r="I101" s="28"/>
      <c r="J101" s="29"/>
      <c r="K101" s="67"/>
    </row>
    <row r="102" ht="15.0" customHeight="1">
      <c r="A102" s="67"/>
      <c r="B102" s="67"/>
      <c r="C102" s="37"/>
      <c r="D102" s="7"/>
      <c r="E102" s="7"/>
      <c r="F102" s="8"/>
      <c r="G102" s="37"/>
      <c r="H102" s="7"/>
      <c r="I102" s="7"/>
      <c r="J102" s="8"/>
      <c r="K102" s="67"/>
    </row>
    <row r="103" ht="15.0" customHeight="1">
      <c r="A103" s="83">
        <v>15.0</v>
      </c>
      <c r="B103" s="41" t="s">
        <v>7</v>
      </c>
      <c r="C103" s="37" t="str">
        <f>'TABLAS '!B18</f>
        <v>reaccion</v>
      </c>
      <c r="D103" s="7"/>
      <c r="E103" s="7"/>
      <c r="F103" s="8"/>
      <c r="G103" s="46" t="s">
        <v>8</v>
      </c>
      <c r="H103" s="7"/>
      <c r="I103" s="7"/>
      <c r="J103" s="8"/>
      <c r="K103" s="52" t="str">
        <f>'TABLAS '!C18</f>
        <v>Registra interacciones rápidas como “me gusta”, “me encanta”, “me sorprende” en publicaciones o comentarios.</v>
      </c>
    </row>
    <row r="104" ht="15.0" customHeight="1">
      <c r="A104" s="49" t="s">
        <v>5</v>
      </c>
      <c r="B104" s="49" t="s">
        <v>71</v>
      </c>
      <c r="C104" s="46" t="s">
        <v>72</v>
      </c>
      <c r="D104" s="7"/>
      <c r="E104" s="7"/>
      <c r="F104" s="8"/>
      <c r="G104" s="46" t="s">
        <v>11</v>
      </c>
      <c r="H104" s="7"/>
      <c r="I104" s="7"/>
      <c r="J104" s="8"/>
      <c r="K104" s="49" t="s">
        <v>77</v>
      </c>
    </row>
    <row r="105" ht="15.0" customHeight="1">
      <c r="A105" s="48">
        <v>1.0</v>
      </c>
      <c r="B105" s="89" t="s">
        <v>181</v>
      </c>
      <c r="C105" s="90" t="s">
        <v>182</v>
      </c>
      <c r="D105" s="7"/>
      <c r="E105" s="7"/>
      <c r="F105" s="8"/>
      <c r="G105" s="102" t="str">
        <f>'TABLAS '!C18</f>
        <v>Registra interacciones rápidas como “me gusta”, “me encanta”, “me sorprende” en publicaciones o comentarios.</v>
      </c>
      <c r="H105" s="22"/>
      <c r="I105" s="22"/>
      <c r="J105" s="23"/>
      <c r="K105" s="54" t="s">
        <v>101</v>
      </c>
    </row>
    <row r="106" ht="15.0" customHeight="1">
      <c r="A106" s="48">
        <v>2.0</v>
      </c>
      <c r="B106" s="89" t="s">
        <v>81</v>
      </c>
      <c r="C106" s="90" t="s">
        <v>183</v>
      </c>
      <c r="D106" s="7"/>
      <c r="E106" s="7"/>
      <c r="F106" s="8"/>
      <c r="G106" s="25"/>
      <c r="J106" s="26"/>
      <c r="K106" s="54" t="s">
        <v>104</v>
      </c>
    </row>
    <row r="107" ht="15.0" customHeight="1">
      <c r="A107" s="48">
        <v>3.0</v>
      </c>
      <c r="B107" s="89" t="s">
        <v>130</v>
      </c>
      <c r="C107" s="90" t="s">
        <v>184</v>
      </c>
      <c r="D107" s="7"/>
      <c r="E107" s="7"/>
      <c r="F107" s="8"/>
      <c r="G107" s="25"/>
      <c r="J107" s="26"/>
      <c r="K107" s="54" t="s">
        <v>104</v>
      </c>
    </row>
    <row r="108" ht="15.0" customHeight="1">
      <c r="A108" s="48">
        <v>4.0</v>
      </c>
      <c r="B108" s="89" t="s">
        <v>137</v>
      </c>
      <c r="C108" s="90" t="s">
        <v>185</v>
      </c>
      <c r="D108" s="7"/>
      <c r="E108" s="7"/>
      <c r="F108" s="8"/>
      <c r="G108" s="25"/>
      <c r="J108" s="26"/>
      <c r="K108" s="54" t="s">
        <v>104</v>
      </c>
    </row>
    <row r="109" ht="15.0" customHeight="1">
      <c r="A109" s="48">
        <v>5.0</v>
      </c>
      <c r="B109" s="103" t="s">
        <v>186</v>
      </c>
      <c r="C109" s="104" t="s">
        <v>260</v>
      </c>
      <c r="D109" s="7"/>
      <c r="E109" s="7"/>
      <c r="F109" s="8"/>
      <c r="G109" s="27"/>
      <c r="H109" s="28"/>
      <c r="I109" s="28"/>
      <c r="J109" s="29"/>
      <c r="K109" s="67"/>
    </row>
    <row r="110" ht="15.75" customHeight="1">
      <c r="A110" s="67"/>
      <c r="B110" s="67"/>
      <c r="C110" s="37"/>
      <c r="D110" s="7"/>
      <c r="E110" s="7"/>
      <c r="F110" s="8"/>
      <c r="G110" s="37"/>
      <c r="H110" s="7"/>
      <c r="I110" s="7"/>
      <c r="J110" s="8"/>
      <c r="K110" s="67"/>
    </row>
    <row r="111" ht="15.75" customHeight="1">
      <c r="A111" s="83">
        <v>16.0</v>
      </c>
      <c r="B111" s="41" t="s">
        <v>7</v>
      </c>
      <c r="C111" s="37" t="str">
        <f>'TABLAS '!B19</f>
        <v>mensaje_privado</v>
      </c>
      <c r="D111" s="7"/>
      <c r="E111" s="7"/>
      <c r="F111" s="8"/>
      <c r="G111" s="46" t="s">
        <v>8</v>
      </c>
      <c r="H111" s="7"/>
      <c r="I111" s="7"/>
      <c r="J111" s="8"/>
      <c r="K111" s="52" t="str">
        <f>'TABLAS '!C19</f>
        <v>Comunicación directa entre dos usuarios dentro de la red.</v>
      </c>
    </row>
    <row r="112" ht="15.75" customHeight="1">
      <c r="A112" s="49" t="s">
        <v>5</v>
      </c>
      <c r="B112" s="49" t="s">
        <v>71</v>
      </c>
      <c r="C112" s="46" t="s">
        <v>72</v>
      </c>
      <c r="D112" s="7"/>
      <c r="E112" s="7"/>
      <c r="F112" s="8"/>
      <c r="G112" s="46" t="s">
        <v>11</v>
      </c>
      <c r="H112" s="7"/>
      <c r="I112" s="7"/>
      <c r="J112" s="8"/>
      <c r="K112" s="49" t="s">
        <v>77</v>
      </c>
    </row>
    <row r="113" ht="15.75" customHeight="1">
      <c r="A113" s="48">
        <v>1.0</v>
      </c>
      <c r="B113" s="54" t="s">
        <v>188</v>
      </c>
      <c r="C113" s="70" t="s">
        <v>189</v>
      </c>
      <c r="D113" s="7"/>
      <c r="E113" s="7"/>
      <c r="F113" s="8"/>
      <c r="G113" s="76" t="str">
        <f>'TABLAS '!C19</f>
        <v>Comunicación directa entre dos usuarios dentro de la red.</v>
      </c>
      <c r="H113" s="22"/>
      <c r="I113" s="22"/>
      <c r="J113" s="23"/>
      <c r="K113" s="54" t="s">
        <v>101</v>
      </c>
    </row>
    <row r="114" ht="15.75" customHeight="1">
      <c r="A114" s="48">
        <v>2.0</v>
      </c>
      <c r="B114" s="54" t="s">
        <v>133</v>
      </c>
      <c r="C114" s="70" t="s">
        <v>190</v>
      </c>
      <c r="D114" s="7"/>
      <c r="E114" s="7"/>
      <c r="F114" s="8"/>
      <c r="G114" s="25"/>
      <c r="J114" s="26"/>
      <c r="K114" s="67"/>
    </row>
    <row r="115" ht="15.75" customHeight="1">
      <c r="A115" s="48">
        <v>3.0</v>
      </c>
      <c r="B115" s="54" t="s">
        <v>135</v>
      </c>
      <c r="C115" s="70" t="s">
        <v>191</v>
      </c>
      <c r="D115" s="7"/>
      <c r="E115" s="7"/>
      <c r="F115" s="8"/>
      <c r="G115" s="25"/>
      <c r="J115" s="26"/>
      <c r="K115" s="67"/>
    </row>
    <row r="116" ht="15.75" customHeight="1">
      <c r="A116" s="48">
        <v>4.0</v>
      </c>
      <c r="B116" s="54" t="s">
        <v>192</v>
      </c>
      <c r="C116" s="70" t="s">
        <v>193</v>
      </c>
      <c r="D116" s="7"/>
      <c r="E116" s="7"/>
      <c r="F116" s="8"/>
      <c r="G116" s="25"/>
      <c r="J116" s="26"/>
      <c r="K116" s="54" t="s">
        <v>104</v>
      </c>
    </row>
    <row r="117" ht="15.75" customHeight="1">
      <c r="A117" s="48">
        <v>5.0</v>
      </c>
      <c r="B117" s="54" t="s">
        <v>194</v>
      </c>
      <c r="C117" s="70" t="s">
        <v>195</v>
      </c>
      <c r="D117" s="7"/>
      <c r="E117" s="7"/>
      <c r="F117" s="8"/>
      <c r="G117" s="27"/>
      <c r="H117" s="28"/>
      <c r="I117" s="28"/>
      <c r="J117" s="29"/>
      <c r="K117" s="54" t="s">
        <v>104</v>
      </c>
    </row>
    <row r="118" ht="15.75" customHeight="1">
      <c r="A118" s="48"/>
      <c r="B118" s="105"/>
      <c r="C118" s="37"/>
      <c r="D118" s="7"/>
      <c r="E118" s="7"/>
      <c r="F118" s="8"/>
      <c r="G118" s="37"/>
      <c r="H118" s="7"/>
      <c r="I118" s="7"/>
      <c r="J118" s="8"/>
      <c r="K118" s="67"/>
    </row>
    <row r="119" ht="15.75" customHeight="1">
      <c r="A119" s="83">
        <v>17.0</v>
      </c>
      <c r="B119" s="41" t="s">
        <v>7</v>
      </c>
      <c r="C119" s="37" t="str">
        <f>'TABLAS '!B20</f>
        <v>amistad</v>
      </c>
      <c r="D119" s="7"/>
      <c r="E119" s="7"/>
      <c r="F119" s="8"/>
      <c r="G119" s="46" t="s">
        <v>8</v>
      </c>
      <c r="H119" s="7"/>
      <c r="I119" s="7"/>
      <c r="J119" s="8"/>
      <c r="K119" s="52" t="str">
        <f>'TABLAS '!C20</f>
        <v>Representa las conexiones entre usuarios (seguimiento o amistad).</v>
      </c>
    </row>
    <row r="120" ht="15.75" customHeight="1">
      <c r="A120" s="49" t="s">
        <v>5</v>
      </c>
      <c r="B120" s="49" t="s">
        <v>71</v>
      </c>
      <c r="C120" s="46" t="s">
        <v>72</v>
      </c>
      <c r="D120" s="7"/>
      <c r="E120" s="7"/>
      <c r="F120" s="8"/>
      <c r="G120" s="46" t="s">
        <v>11</v>
      </c>
      <c r="H120" s="7"/>
      <c r="I120" s="7"/>
      <c r="J120" s="8"/>
      <c r="K120" s="49" t="s">
        <v>77</v>
      </c>
    </row>
    <row r="121" ht="15.75" customHeight="1">
      <c r="A121" s="48">
        <v>1.0</v>
      </c>
      <c r="B121" s="54" t="s">
        <v>196</v>
      </c>
      <c r="C121" s="70" t="s">
        <v>197</v>
      </c>
      <c r="D121" s="7"/>
      <c r="E121" s="7"/>
      <c r="F121" s="8"/>
      <c r="G121" s="76" t="str">
        <f>'TABLAS '!C20</f>
        <v>Representa las conexiones entre usuarios (seguimiento o amistad).</v>
      </c>
      <c r="H121" s="22"/>
      <c r="I121" s="22"/>
      <c r="J121" s="23"/>
      <c r="K121" s="54" t="s">
        <v>101</v>
      </c>
    </row>
    <row r="122" ht="15.75" customHeight="1">
      <c r="A122" s="48">
        <v>2.0</v>
      </c>
      <c r="B122" s="54" t="s">
        <v>198</v>
      </c>
      <c r="C122" s="70" t="s">
        <v>199</v>
      </c>
      <c r="D122" s="7"/>
      <c r="E122" s="7"/>
      <c r="F122" s="8"/>
      <c r="G122" s="25"/>
      <c r="J122" s="26"/>
      <c r="K122" s="67"/>
    </row>
    <row r="123" ht="15.75" customHeight="1">
      <c r="A123" s="48">
        <v>3.0</v>
      </c>
      <c r="B123" s="54" t="s">
        <v>200</v>
      </c>
      <c r="C123" s="70" t="s">
        <v>201</v>
      </c>
      <c r="D123" s="7"/>
      <c r="E123" s="7"/>
      <c r="F123" s="8"/>
      <c r="G123" s="25"/>
      <c r="J123" s="26"/>
      <c r="K123" s="54" t="s">
        <v>104</v>
      </c>
    </row>
    <row r="124" ht="15.75" customHeight="1">
      <c r="A124" s="48">
        <v>4.0</v>
      </c>
      <c r="B124" s="54" t="s">
        <v>202</v>
      </c>
      <c r="C124" s="70" t="s">
        <v>203</v>
      </c>
      <c r="D124" s="7"/>
      <c r="E124" s="7"/>
      <c r="F124" s="8"/>
      <c r="G124" s="25"/>
      <c r="J124" s="26"/>
      <c r="K124" s="54" t="s">
        <v>104</v>
      </c>
    </row>
    <row r="125" ht="15.75" customHeight="1">
      <c r="A125" s="54"/>
      <c r="B125" s="67"/>
      <c r="C125" s="37"/>
      <c r="D125" s="7"/>
      <c r="E125" s="7"/>
      <c r="F125" s="8"/>
      <c r="G125" s="106"/>
      <c r="H125" s="7"/>
      <c r="I125" s="7"/>
      <c r="J125" s="8"/>
      <c r="K125" s="67"/>
    </row>
    <row r="126" ht="15.75" customHeight="1">
      <c r="A126" s="83">
        <v>18.0</v>
      </c>
      <c r="B126" s="41" t="s">
        <v>7</v>
      </c>
      <c r="C126" s="37" t="str">
        <f>'TABLAS '!B21</f>
        <v>historial_actividad</v>
      </c>
      <c r="D126" s="7"/>
      <c r="E126" s="7"/>
      <c r="F126" s="8"/>
      <c r="G126" s="46" t="s">
        <v>8</v>
      </c>
      <c r="H126" s="7"/>
      <c r="I126" s="7"/>
      <c r="J126" s="8"/>
      <c r="K126" s="52" t="str">
        <f>'TABLAS '!C21</f>
        <v>Guarda las acciones realizadas por cada usuario (publicar, comentar, unirse a grupo, etc.).</v>
      </c>
    </row>
    <row r="127" ht="15.75" customHeight="1">
      <c r="A127" s="49" t="s">
        <v>5</v>
      </c>
      <c r="B127" s="49" t="s">
        <v>71</v>
      </c>
      <c r="C127" s="46" t="s">
        <v>72</v>
      </c>
      <c r="D127" s="7"/>
      <c r="E127" s="7"/>
      <c r="F127" s="8"/>
      <c r="G127" s="46" t="s">
        <v>11</v>
      </c>
      <c r="H127" s="7"/>
      <c r="I127" s="7"/>
      <c r="J127" s="8"/>
      <c r="K127" s="49" t="s">
        <v>77</v>
      </c>
    </row>
    <row r="128" ht="15.75" customHeight="1">
      <c r="A128" s="48">
        <v>1.0</v>
      </c>
      <c r="B128" s="54" t="s">
        <v>204</v>
      </c>
      <c r="C128" s="64" t="s">
        <v>205</v>
      </c>
      <c r="D128" s="28"/>
      <c r="E128" s="28"/>
      <c r="F128" s="29"/>
      <c r="G128" s="76" t="str">
        <f>'TABLAS '!C21</f>
        <v>Guarda las acciones realizadas por cada usuario (publicar, comentar, unirse a grupo, etc.).</v>
      </c>
      <c r="H128" s="22"/>
      <c r="I128" s="22"/>
      <c r="J128" s="23"/>
      <c r="K128" s="54" t="s">
        <v>101</v>
      </c>
    </row>
    <row r="129" ht="15.75" customHeight="1">
      <c r="A129" s="48">
        <v>2.0</v>
      </c>
      <c r="B129" s="54" t="s">
        <v>206</v>
      </c>
      <c r="C129" s="64" t="s">
        <v>207</v>
      </c>
      <c r="D129" s="28"/>
      <c r="E129" s="28"/>
      <c r="F129" s="29"/>
      <c r="G129" s="25"/>
      <c r="J129" s="26"/>
      <c r="K129" s="67"/>
    </row>
    <row r="130" ht="15.75" customHeight="1">
      <c r="A130" s="48">
        <v>3.0</v>
      </c>
      <c r="B130" s="54" t="s">
        <v>135</v>
      </c>
      <c r="C130" s="64" t="s">
        <v>208</v>
      </c>
      <c r="D130" s="28"/>
      <c r="E130" s="28"/>
      <c r="F130" s="29"/>
      <c r="G130" s="25"/>
      <c r="J130" s="26"/>
      <c r="K130" s="67"/>
    </row>
    <row r="131" ht="15.75" customHeight="1">
      <c r="A131" s="48">
        <v>4.0</v>
      </c>
      <c r="B131" s="54" t="s">
        <v>81</v>
      </c>
      <c r="C131" s="64" t="s">
        <v>209</v>
      </c>
      <c r="D131" s="28"/>
      <c r="E131" s="28"/>
      <c r="F131" s="29"/>
      <c r="G131" s="25"/>
      <c r="J131" s="26"/>
      <c r="K131" s="54" t="s">
        <v>104</v>
      </c>
    </row>
    <row r="132" ht="15.75" customHeight="1">
      <c r="A132" s="48"/>
      <c r="B132" s="67"/>
      <c r="C132" s="37"/>
      <c r="D132" s="7"/>
      <c r="E132" s="7"/>
      <c r="F132" s="8"/>
      <c r="G132" s="27"/>
      <c r="H132" s="28"/>
      <c r="I132" s="28"/>
      <c r="J132" s="29"/>
      <c r="K132" s="67"/>
    </row>
    <row r="133" ht="15.75" customHeight="1">
      <c r="A133" s="83">
        <v>19.0</v>
      </c>
      <c r="B133" s="41" t="s">
        <v>7</v>
      </c>
      <c r="C133" s="37" t="str">
        <f>'TABLAS '!B22</f>
        <v>usuario_grupo</v>
      </c>
      <c r="D133" s="7"/>
      <c r="E133" s="7"/>
      <c r="F133" s="8"/>
      <c r="G133" s="46" t="s">
        <v>8</v>
      </c>
      <c r="H133" s="7"/>
      <c r="I133" s="7"/>
      <c r="J133" s="8"/>
      <c r="K133" s="52" t="str">
        <f>'TABLAS '!C22</f>
        <v>Un usuario pertenece a uno o varios grupos.</v>
      </c>
    </row>
    <row r="134" ht="15.75" customHeight="1">
      <c r="A134" s="49" t="s">
        <v>5</v>
      </c>
      <c r="B134" s="49" t="s">
        <v>71</v>
      </c>
      <c r="C134" s="46" t="s">
        <v>72</v>
      </c>
      <c r="D134" s="7"/>
      <c r="E134" s="7"/>
      <c r="F134" s="8"/>
      <c r="G134" s="46" t="s">
        <v>11</v>
      </c>
      <c r="H134" s="7"/>
      <c r="I134" s="7"/>
      <c r="J134" s="8"/>
      <c r="K134" s="49" t="s">
        <v>77</v>
      </c>
    </row>
    <row r="135" ht="15.75" customHeight="1">
      <c r="A135" s="48">
        <v>1.0</v>
      </c>
      <c r="B135" s="54" t="s">
        <v>210</v>
      </c>
      <c r="C135" s="87" t="s">
        <v>211</v>
      </c>
      <c r="D135" s="7"/>
      <c r="E135" s="7"/>
      <c r="F135" s="8"/>
      <c r="G135" s="102" t="str">
        <f>'TABLAS '!C22</f>
        <v>Un usuario pertenece a uno o varios grupos.</v>
      </c>
      <c r="H135" s="22"/>
      <c r="I135" s="22"/>
      <c r="J135" s="23"/>
      <c r="K135" s="54" t="s">
        <v>101</v>
      </c>
    </row>
    <row r="136" ht="15.75" customHeight="1">
      <c r="A136" s="48">
        <v>2.0</v>
      </c>
      <c r="B136" s="54" t="s">
        <v>81</v>
      </c>
      <c r="C136" s="87" t="s">
        <v>212</v>
      </c>
      <c r="D136" s="7"/>
      <c r="E136" s="7"/>
      <c r="F136" s="8"/>
      <c r="G136" s="25"/>
      <c r="J136" s="26"/>
      <c r="K136" s="54" t="s">
        <v>104</v>
      </c>
    </row>
    <row r="137" ht="15.75" customHeight="1">
      <c r="A137" s="48">
        <v>3.0</v>
      </c>
      <c r="B137" s="54" t="s">
        <v>143</v>
      </c>
      <c r="C137" s="87" t="s">
        <v>213</v>
      </c>
      <c r="D137" s="7"/>
      <c r="E137" s="7"/>
      <c r="F137" s="8"/>
      <c r="G137" s="25"/>
      <c r="J137" s="26"/>
      <c r="K137" s="54" t="s">
        <v>104</v>
      </c>
    </row>
    <row r="138" ht="15.75" customHeight="1">
      <c r="A138" s="48">
        <v>4.0</v>
      </c>
      <c r="B138" s="54" t="s">
        <v>214</v>
      </c>
      <c r="C138" s="86" t="s">
        <v>215</v>
      </c>
      <c r="D138" s="7"/>
      <c r="E138" s="7"/>
      <c r="F138" s="8"/>
      <c r="G138" s="25"/>
      <c r="J138" s="26"/>
      <c r="K138" s="67"/>
    </row>
    <row r="139" ht="15.75" customHeight="1">
      <c r="A139" s="48">
        <v>5.0</v>
      </c>
      <c r="B139" s="107" t="s">
        <v>216</v>
      </c>
      <c r="C139" s="108" t="s">
        <v>217</v>
      </c>
      <c r="D139" s="7"/>
      <c r="E139" s="7"/>
      <c r="F139" s="8"/>
      <c r="G139" s="27"/>
      <c r="H139" s="28"/>
      <c r="I139" s="28"/>
      <c r="J139" s="29"/>
      <c r="K139" s="54" t="s">
        <v>104</v>
      </c>
    </row>
    <row r="140" ht="15.75" customHeight="1">
      <c r="A140" s="67"/>
      <c r="B140" s="67"/>
      <c r="C140" s="37"/>
      <c r="D140" s="7"/>
      <c r="E140" s="7"/>
      <c r="F140" s="8"/>
      <c r="G140" s="37"/>
      <c r="H140" s="7"/>
      <c r="I140" s="7"/>
      <c r="J140" s="8"/>
      <c r="K140" s="67"/>
    </row>
    <row r="141" ht="15.75" customHeight="1">
      <c r="A141" s="83">
        <v>20.0</v>
      </c>
      <c r="B141" s="41" t="s">
        <v>7</v>
      </c>
      <c r="C141" s="37" t="str">
        <f>'TABLAS '!B23</f>
        <v>evento_usuarios</v>
      </c>
      <c r="D141" s="7"/>
      <c r="E141" s="7"/>
      <c r="F141" s="8"/>
      <c r="G141" s="46" t="s">
        <v>8</v>
      </c>
      <c r="H141" s="7"/>
      <c r="I141" s="7"/>
      <c r="J141" s="8"/>
      <c r="K141" s="52" t="str">
        <f>'TABLAS '!C23</f>
        <v>Un usuario participa en eventos organizados por otros.</v>
      </c>
    </row>
    <row r="142" ht="15.75" customHeight="1">
      <c r="A142" s="49" t="s">
        <v>5</v>
      </c>
      <c r="B142" s="49" t="s">
        <v>71</v>
      </c>
      <c r="C142" s="46" t="s">
        <v>72</v>
      </c>
      <c r="D142" s="7"/>
      <c r="E142" s="7"/>
      <c r="F142" s="8"/>
      <c r="G142" s="46" t="s">
        <v>11</v>
      </c>
      <c r="H142" s="7"/>
      <c r="I142" s="7"/>
      <c r="J142" s="8"/>
      <c r="K142" s="49" t="s">
        <v>77</v>
      </c>
    </row>
    <row r="143" ht="15.75" customHeight="1">
      <c r="A143" s="48">
        <v>1.0</v>
      </c>
      <c r="B143" s="54" t="s">
        <v>218</v>
      </c>
      <c r="C143" s="87" t="s">
        <v>211</v>
      </c>
      <c r="D143" s="7"/>
      <c r="E143" s="7"/>
      <c r="F143" s="8"/>
      <c r="G143" s="61" t="str">
        <f>'TABLAS '!C23</f>
        <v>Un usuario participa en eventos organizados por otros.</v>
      </c>
      <c r="H143" s="22"/>
      <c r="I143" s="22"/>
      <c r="J143" s="23"/>
      <c r="K143" s="54" t="s">
        <v>101</v>
      </c>
    </row>
    <row r="144" ht="15.75" customHeight="1">
      <c r="A144" s="48">
        <v>2.0</v>
      </c>
      <c r="B144" s="54" t="s">
        <v>81</v>
      </c>
      <c r="C144" s="87" t="s">
        <v>219</v>
      </c>
      <c r="D144" s="7"/>
      <c r="E144" s="7"/>
      <c r="F144" s="8"/>
      <c r="G144" s="25"/>
      <c r="J144" s="26"/>
      <c r="K144" s="54" t="s">
        <v>104</v>
      </c>
    </row>
    <row r="145" ht="15.75" customHeight="1">
      <c r="A145" s="48">
        <v>3.0</v>
      </c>
      <c r="B145" s="54" t="s">
        <v>167</v>
      </c>
      <c r="C145" s="87" t="s">
        <v>220</v>
      </c>
      <c r="D145" s="7"/>
      <c r="E145" s="7"/>
      <c r="F145" s="8"/>
      <c r="G145" s="25"/>
      <c r="J145" s="26"/>
      <c r="K145" s="54" t="s">
        <v>104</v>
      </c>
    </row>
    <row r="146" ht="15.75" customHeight="1">
      <c r="A146" s="48">
        <v>4.0</v>
      </c>
      <c r="B146" s="54" t="s">
        <v>221</v>
      </c>
      <c r="C146" s="87" t="s">
        <v>222</v>
      </c>
      <c r="D146" s="7"/>
      <c r="E146" s="7"/>
      <c r="F146" s="8"/>
      <c r="G146" s="25"/>
      <c r="J146" s="26"/>
      <c r="K146" s="67"/>
    </row>
    <row r="147" ht="15.75" customHeight="1">
      <c r="A147" s="48">
        <v>5.0</v>
      </c>
      <c r="B147" s="54" t="s">
        <v>223</v>
      </c>
      <c r="C147" s="87" t="s">
        <v>224</v>
      </c>
      <c r="D147" s="7"/>
      <c r="E147" s="7"/>
      <c r="F147" s="8"/>
      <c r="G147" s="25"/>
      <c r="J147" s="26"/>
      <c r="K147" s="67"/>
    </row>
    <row r="148" ht="15.75" customHeight="1">
      <c r="A148" s="54">
        <v>6.0</v>
      </c>
      <c r="B148" s="54" t="s">
        <v>225</v>
      </c>
      <c r="C148" s="87" t="s">
        <v>226</v>
      </c>
      <c r="D148" s="7"/>
      <c r="E148" s="7"/>
      <c r="F148" s="8"/>
      <c r="G148" s="27"/>
      <c r="H148" s="28"/>
      <c r="I148" s="28"/>
      <c r="J148" s="29"/>
      <c r="K148" s="67"/>
    </row>
    <row r="149" ht="15.75" customHeight="1">
      <c r="A149" s="52"/>
      <c r="B149" s="67"/>
      <c r="C149" s="37"/>
      <c r="D149" s="7"/>
      <c r="E149" s="7"/>
      <c r="F149" s="8"/>
      <c r="G149" s="37"/>
      <c r="H149" s="7"/>
      <c r="I149" s="7"/>
      <c r="J149" s="8"/>
      <c r="K149" s="67"/>
    </row>
    <row r="150" ht="15.75" customHeight="1">
      <c r="A150" s="83">
        <v>21.0</v>
      </c>
      <c r="B150" s="41" t="s">
        <v>7</v>
      </c>
      <c r="C150" s="37" t="str">
        <f>'TABLAS '!B24</f>
        <v>usuario_reaccion</v>
      </c>
      <c r="D150" s="7"/>
      <c r="E150" s="7"/>
      <c r="F150" s="8"/>
      <c r="G150" s="46" t="s">
        <v>8</v>
      </c>
      <c r="H150" s="7"/>
      <c r="I150" s="7"/>
      <c r="J150" s="8"/>
      <c r="K150" s="52" t="str">
        <f>'TABLAS '!C24</f>
        <v>Un usuario reacciona a publicaciones o comentarios.</v>
      </c>
    </row>
    <row r="151" ht="15.75" customHeight="1">
      <c r="A151" s="49" t="s">
        <v>5</v>
      </c>
      <c r="B151" s="49" t="s">
        <v>71</v>
      </c>
      <c r="C151" s="46" t="s">
        <v>72</v>
      </c>
      <c r="D151" s="7"/>
      <c r="E151" s="7"/>
      <c r="F151" s="8"/>
      <c r="G151" s="46" t="s">
        <v>11</v>
      </c>
      <c r="H151" s="7"/>
      <c r="I151" s="7"/>
      <c r="J151" s="8"/>
      <c r="K151" s="49" t="s">
        <v>77</v>
      </c>
    </row>
    <row r="152" ht="15.75" customHeight="1">
      <c r="A152" s="48">
        <v>1.0</v>
      </c>
      <c r="B152" s="54" t="s">
        <v>227</v>
      </c>
      <c r="C152" s="87" t="s">
        <v>211</v>
      </c>
      <c r="D152" s="7"/>
      <c r="E152" s="7"/>
      <c r="F152" s="8"/>
      <c r="G152" s="76" t="str">
        <f>'TABLAS '!C24</f>
        <v>Un usuario reacciona a publicaciones o comentarios.</v>
      </c>
      <c r="H152" s="22"/>
      <c r="I152" s="22"/>
      <c r="J152" s="23"/>
      <c r="K152" s="54" t="s">
        <v>101</v>
      </c>
    </row>
    <row r="153" ht="15.75" customHeight="1">
      <c r="A153" s="48">
        <v>2.0</v>
      </c>
      <c r="B153" s="54" t="s">
        <v>81</v>
      </c>
      <c r="C153" s="87" t="s">
        <v>228</v>
      </c>
      <c r="D153" s="7"/>
      <c r="E153" s="7"/>
      <c r="F153" s="8"/>
      <c r="G153" s="25"/>
      <c r="J153" s="26"/>
      <c r="K153" s="54" t="s">
        <v>104</v>
      </c>
    </row>
    <row r="154" ht="15.75" customHeight="1">
      <c r="A154" s="48">
        <v>3.0</v>
      </c>
      <c r="B154" s="54" t="s">
        <v>181</v>
      </c>
      <c r="C154" s="87" t="s">
        <v>229</v>
      </c>
      <c r="D154" s="7"/>
      <c r="E154" s="7"/>
      <c r="F154" s="8"/>
      <c r="G154" s="25"/>
      <c r="J154" s="26"/>
      <c r="K154" s="54" t="s">
        <v>104</v>
      </c>
    </row>
    <row r="155" ht="15.75" customHeight="1">
      <c r="A155" s="48">
        <v>4.0</v>
      </c>
      <c r="B155" s="54" t="s">
        <v>230</v>
      </c>
      <c r="C155" s="87" t="s">
        <v>231</v>
      </c>
      <c r="D155" s="7"/>
      <c r="E155" s="7"/>
      <c r="F155" s="8"/>
      <c r="G155" s="27"/>
      <c r="H155" s="28"/>
      <c r="I155" s="28"/>
      <c r="J155" s="29"/>
      <c r="K155" s="67"/>
    </row>
    <row r="156" ht="15.75" customHeight="1">
      <c r="A156" s="52"/>
      <c r="B156" s="67"/>
      <c r="C156" s="37"/>
      <c r="D156" s="7"/>
      <c r="E156" s="7"/>
      <c r="F156" s="8"/>
      <c r="G156" s="37"/>
      <c r="H156" s="7"/>
      <c r="I156" s="7"/>
      <c r="J156" s="8"/>
      <c r="K156" s="67"/>
    </row>
    <row r="157" ht="15.75" customHeight="1">
      <c r="A157" s="83">
        <v>22.0</v>
      </c>
      <c r="B157" s="41" t="s">
        <v>7</v>
      </c>
      <c r="C157" s="37" t="str">
        <f>'TABLAS '!B25</f>
        <v>usuario_amistad</v>
      </c>
      <c r="D157" s="7"/>
      <c r="E157" s="7"/>
      <c r="F157" s="8"/>
      <c r="G157" s="46" t="s">
        <v>8</v>
      </c>
      <c r="H157" s="7"/>
      <c r="I157" s="7"/>
      <c r="J157" s="8"/>
      <c r="K157" s="52" t="str">
        <f>'TABLAS '!C25</f>
        <v>Un usuario establece amistad con otro usuario.</v>
      </c>
    </row>
    <row r="158" ht="15.75" customHeight="1">
      <c r="A158" s="49" t="s">
        <v>5</v>
      </c>
      <c r="B158" s="49" t="s">
        <v>71</v>
      </c>
      <c r="C158" s="46" t="s">
        <v>72</v>
      </c>
      <c r="D158" s="7"/>
      <c r="E158" s="7"/>
      <c r="F158" s="8"/>
      <c r="G158" s="46" t="s">
        <v>11</v>
      </c>
      <c r="H158" s="7"/>
      <c r="I158" s="7"/>
      <c r="J158" s="8"/>
      <c r="K158" s="49" t="s">
        <v>77</v>
      </c>
    </row>
    <row r="159" ht="19.5" customHeight="1">
      <c r="A159" s="48">
        <v>1.0</v>
      </c>
      <c r="B159" s="54" t="s">
        <v>232</v>
      </c>
      <c r="C159" s="87" t="s">
        <v>233</v>
      </c>
      <c r="D159" s="7"/>
      <c r="E159" s="7"/>
      <c r="F159" s="8"/>
      <c r="G159" s="76" t="str">
        <f>'TABLAS '!C25</f>
        <v>Un usuario establece amistad con otro usuario.</v>
      </c>
      <c r="H159" s="22"/>
      <c r="I159" s="22"/>
      <c r="J159" s="23"/>
      <c r="K159" s="54" t="s">
        <v>101</v>
      </c>
    </row>
    <row r="160" ht="15.75" customHeight="1">
      <c r="A160" s="48">
        <v>2.0</v>
      </c>
      <c r="B160" s="54" t="s">
        <v>200</v>
      </c>
      <c r="C160" s="87" t="s">
        <v>234</v>
      </c>
      <c r="D160" s="7"/>
      <c r="E160" s="7"/>
      <c r="F160" s="8"/>
      <c r="G160" s="25"/>
      <c r="J160" s="26"/>
      <c r="K160" s="54" t="s">
        <v>104</v>
      </c>
    </row>
    <row r="161" ht="15.75" customHeight="1">
      <c r="A161" s="48">
        <v>3.0</v>
      </c>
      <c r="B161" s="54" t="s">
        <v>202</v>
      </c>
      <c r="C161" s="87" t="s">
        <v>235</v>
      </c>
      <c r="D161" s="7"/>
      <c r="E161" s="7"/>
      <c r="F161" s="8"/>
      <c r="G161" s="25"/>
      <c r="J161" s="26"/>
      <c r="K161" s="54" t="s">
        <v>104</v>
      </c>
    </row>
    <row r="162" ht="15.75" customHeight="1">
      <c r="A162" s="48">
        <v>4.0</v>
      </c>
      <c r="B162" s="54" t="s">
        <v>236</v>
      </c>
      <c r="C162" s="70" t="s">
        <v>237</v>
      </c>
      <c r="D162" s="7"/>
      <c r="E162" s="7"/>
      <c r="F162" s="8"/>
      <c r="G162" s="25"/>
      <c r="J162" s="26"/>
      <c r="K162" s="67"/>
    </row>
    <row r="163" ht="15.75" customHeight="1">
      <c r="A163" s="48">
        <v>5.0</v>
      </c>
      <c r="B163" s="54" t="s">
        <v>198</v>
      </c>
      <c r="C163" s="70" t="s">
        <v>238</v>
      </c>
      <c r="D163" s="7"/>
      <c r="E163" s="7"/>
      <c r="F163" s="8"/>
      <c r="G163" s="27"/>
      <c r="H163" s="28"/>
      <c r="I163" s="28"/>
      <c r="J163" s="29"/>
      <c r="K163" s="67"/>
    </row>
    <row r="164" ht="15.75" customHeight="1">
      <c r="A164" s="67"/>
      <c r="B164" s="67"/>
      <c r="C164" s="37"/>
      <c r="D164" s="7"/>
      <c r="E164" s="7"/>
      <c r="F164" s="8"/>
      <c r="G164" s="37"/>
      <c r="H164" s="7"/>
      <c r="I164" s="7"/>
      <c r="J164" s="8"/>
      <c r="K164" s="67"/>
    </row>
    <row r="165" ht="15.75" customHeight="1">
      <c r="A165" s="83">
        <v>23.0</v>
      </c>
      <c r="B165" s="41" t="s">
        <v>7</v>
      </c>
      <c r="C165" s="37" t="str">
        <f>'TABLAS '!B26</f>
        <v>perfil_publicacion</v>
      </c>
      <c r="D165" s="7"/>
      <c r="E165" s="7"/>
      <c r="F165" s="8"/>
      <c r="G165" s="46" t="s">
        <v>8</v>
      </c>
      <c r="H165" s="7"/>
      <c r="I165" s="7"/>
      <c r="J165" s="8"/>
      <c r="K165" s="52" t="str">
        <f>'TABLAS '!C26</f>
        <v>Un perfil contiene a una o varias publicaciones, y varios perfiles pueden contener la misma publicacion</v>
      </c>
    </row>
    <row r="166" ht="15.75" customHeight="1">
      <c r="A166" s="49" t="s">
        <v>5</v>
      </c>
      <c r="B166" s="49" t="s">
        <v>71</v>
      </c>
      <c r="C166" s="46" t="s">
        <v>72</v>
      </c>
      <c r="D166" s="7"/>
      <c r="E166" s="7"/>
      <c r="F166" s="8"/>
      <c r="G166" s="46" t="s">
        <v>11</v>
      </c>
      <c r="H166" s="7"/>
      <c r="I166" s="7"/>
      <c r="J166" s="8"/>
      <c r="K166" s="49" t="s">
        <v>77</v>
      </c>
    </row>
    <row r="167" ht="15.75" customHeight="1">
      <c r="A167" s="48">
        <v>1.0</v>
      </c>
      <c r="B167" s="54" t="s">
        <v>240</v>
      </c>
      <c r="C167" s="87" t="s">
        <v>211</v>
      </c>
      <c r="D167" s="7"/>
      <c r="E167" s="7"/>
      <c r="F167" s="8"/>
      <c r="G167" s="76" t="str">
        <f>'TABLAS '!C26</f>
        <v>Un perfil contiene a una o varias publicaciones, y varios perfiles pueden contener la misma publicacion</v>
      </c>
      <c r="H167" s="22"/>
      <c r="I167" s="22"/>
      <c r="J167" s="23"/>
      <c r="K167" s="54" t="s">
        <v>101</v>
      </c>
    </row>
    <row r="168" ht="22.5" customHeight="1">
      <c r="A168" s="48">
        <v>2.0</v>
      </c>
      <c r="B168" s="54" t="s">
        <v>124</v>
      </c>
      <c r="C168" s="87" t="s">
        <v>241</v>
      </c>
      <c r="D168" s="7"/>
      <c r="E168" s="7"/>
      <c r="F168" s="8"/>
      <c r="G168" s="25"/>
      <c r="J168" s="26"/>
      <c r="K168" s="54" t="s">
        <v>104</v>
      </c>
    </row>
    <row r="169" ht="15.75" customHeight="1">
      <c r="A169" s="48">
        <v>3.0</v>
      </c>
      <c r="B169" s="54" t="s">
        <v>130</v>
      </c>
      <c r="C169" s="87" t="s">
        <v>242</v>
      </c>
      <c r="D169" s="7"/>
      <c r="E169" s="7"/>
      <c r="F169" s="8"/>
      <c r="G169" s="25"/>
      <c r="J169" s="26"/>
      <c r="K169" s="54" t="s">
        <v>104</v>
      </c>
    </row>
    <row r="170" ht="15.75" customHeight="1">
      <c r="A170" s="48">
        <v>4.0</v>
      </c>
      <c r="B170" s="54" t="s">
        <v>243</v>
      </c>
      <c r="C170" s="87" t="s">
        <v>244</v>
      </c>
      <c r="D170" s="7"/>
      <c r="E170" s="7"/>
      <c r="F170" s="8"/>
      <c r="G170" s="27"/>
      <c r="H170" s="28"/>
      <c r="I170" s="28"/>
      <c r="J170" s="29"/>
      <c r="K170" s="67"/>
    </row>
    <row r="171" ht="15.75" customHeight="1">
      <c r="A171" s="52"/>
      <c r="B171" s="67"/>
      <c r="C171" s="37"/>
      <c r="D171" s="7"/>
      <c r="E171" s="7"/>
      <c r="F171" s="8"/>
      <c r="G171" s="37"/>
      <c r="H171" s="7"/>
      <c r="I171" s="7"/>
      <c r="J171" s="8"/>
      <c r="K171" s="67"/>
    </row>
    <row r="172" ht="15.75" customHeight="1">
      <c r="A172" s="83"/>
      <c r="B172" s="41"/>
      <c r="C172" s="37"/>
      <c r="D172" s="7"/>
      <c r="E172" s="7"/>
      <c r="F172" s="8"/>
      <c r="G172" s="46"/>
      <c r="H172" s="7"/>
      <c r="I172" s="7"/>
      <c r="J172" s="8"/>
      <c r="K172" s="52"/>
    </row>
    <row r="173" ht="15.75" customHeight="1">
      <c r="A173" s="49"/>
      <c r="B173" s="49"/>
      <c r="C173" s="46"/>
      <c r="D173" s="7"/>
      <c r="E173" s="7"/>
      <c r="F173" s="8"/>
      <c r="G173" s="46"/>
      <c r="H173" s="7"/>
      <c r="I173" s="7"/>
      <c r="J173" s="8"/>
      <c r="K173" s="49"/>
    </row>
    <row r="174" ht="15.75" customHeight="1">
      <c r="A174" s="52"/>
      <c r="B174" s="67"/>
      <c r="C174" s="37"/>
      <c r="D174" s="7"/>
      <c r="E174" s="7"/>
      <c r="F174" s="8"/>
      <c r="G174" s="37"/>
      <c r="H174" s="7"/>
      <c r="I174" s="7"/>
      <c r="J174" s="8"/>
      <c r="K174" s="67"/>
    </row>
    <row r="175" ht="15.75" customHeight="1">
      <c r="A175" s="52"/>
      <c r="B175" s="67"/>
      <c r="C175" s="37"/>
      <c r="D175" s="7"/>
      <c r="E175" s="7"/>
      <c r="F175" s="8"/>
      <c r="G175" s="37"/>
      <c r="H175" s="7"/>
      <c r="I175" s="7"/>
      <c r="J175" s="8"/>
      <c r="K175" s="67"/>
    </row>
    <row r="176" ht="15.75" customHeight="1">
      <c r="A176" s="52"/>
      <c r="B176" s="67"/>
      <c r="C176" s="37"/>
      <c r="D176" s="7"/>
      <c r="E176" s="7"/>
      <c r="F176" s="8"/>
      <c r="G176" s="37"/>
      <c r="H176" s="7"/>
      <c r="I176" s="7"/>
      <c r="J176" s="8"/>
      <c r="K176" s="67"/>
    </row>
    <row r="177" ht="15.75" customHeight="1">
      <c r="A177" s="52"/>
      <c r="B177" s="67"/>
      <c r="C177" s="37"/>
      <c r="D177" s="7"/>
      <c r="E177" s="7"/>
      <c r="F177" s="8"/>
      <c r="G177" s="37"/>
      <c r="H177" s="7"/>
      <c r="I177" s="7"/>
      <c r="J177" s="8"/>
      <c r="K177" s="67"/>
    </row>
    <row r="178" ht="15.75" customHeight="1">
      <c r="A178" s="52"/>
      <c r="B178" s="67"/>
      <c r="C178" s="37"/>
      <c r="D178" s="7"/>
      <c r="E178" s="7"/>
      <c r="F178" s="8"/>
      <c r="G178" s="37"/>
      <c r="H178" s="7"/>
      <c r="I178" s="7"/>
      <c r="J178" s="8"/>
      <c r="K178" s="67"/>
    </row>
    <row r="179" ht="15.75" customHeight="1">
      <c r="A179" s="67"/>
      <c r="B179" s="67"/>
      <c r="C179" s="37"/>
      <c r="D179" s="7"/>
      <c r="E179" s="7"/>
      <c r="F179" s="8"/>
      <c r="G179" s="37"/>
      <c r="H179" s="7"/>
      <c r="I179" s="7"/>
      <c r="J179" s="8"/>
      <c r="K179" s="67"/>
    </row>
    <row r="180" ht="15.75" customHeight="1">
      <c r="A180" s="52"/>
      <c r="B180" s="67"/>
      <c r="C180" s="37"/>
      <c r="D180" s="7"/>
      <c r="E180" s="7"/>
      <c r="F180" s="8"/>
      <c r="G180" s="37"/>
      <c r="H180" s="7"/>
      <c r="I180" s="7"/>
      <c r="J180" s="8"/>
      <c r="K180" s="67"/>
    </row>
    <row r="181" ht="21.0" customHeight="1">
      <c r="A181" s="83"/>
      <c r="B181" s="41"/>
      <c r="C181" s="37"/>
      <c r="D181" s="7"/>
      <c r="E181" s="7"/>
      <c r="F181" s="8"/>
      <c r="G181" s="46"/>
      <c r="H181" s="7"/>
      <c r="I181" s="7"/>
      <c r="J181" s="8"/>
      <c r="K181" s="52"/>
    </row>
    <row r="182" ht="15.75" customHeight="1">
      <c r="A182" s="49"/>
      <c r="B182" s="49"/>
      <c r="C182" s="46"/>
      <c r="D182" s="7"/>
      <c r="E182" s="7"/>
      <c r="F182" s="8"/>
      <c r="G182" s="46"/>
      <c r="H182" s="7"/>
      <c r="I182" s="7"/>
      <c r="J182" s="8"/>
      <c r="K182" s="49"/>
    </row>
    <row r="183" ht="15.75" customHeight="1">
      <c r="A183" s="52"/>
      <c r="B183" s="67"/>
      <c r="C183" s="37"/>
      <c r="D183" s="7"/>
      <c r="E183" s="7"/>
      <c r="F183" s="8"/>
      <c r="G183" s="37"/>
      <c r="H183" s="7"/>
      <c r="I183" s="7"/>
      <c r="J183" s="8"/>
      <c r="K183" s="67"/>
    </row>
    <row r="184" ht="15.75" customHeight="1">
      <c r="A184" s="52"/>
      <c r="B184" s="67"/>
      <c r="C184" s="37"/>
      <c r="D184" s="7"/>
      <c r="E184" s="7"/>
      <c r="F184" s="8"/>
      <c r="G184" s="37"/>
      <c r="H184" s="7"/>
      <c r="I184" s="7"/>
      <c r="J184" s="8"/>
      <c r="K184" s="67"/>
    </row>
    <row r="185" ht="15.75" customHeight="1">
      <c r="A185" s="52"/>
      <c r="B185" s="67"/>
      <c r="C185" s="37"/>
      <c r="D185" s="7"/>
      <c r="E185" s="7"/>
      <c r="F185" s="8"/>
      <c r="G185" s="37"/>
      <c r="H185" s="7"/>
      <c r="I185" s="7"/>
      <c r="J185" s="8"/>
      <c r="K185" s="67"/>
    </row>
    <row r="186" ht="15.75" customHeight="1">
      <c r="A186" s="52"/>
      <c r="B186" s="67"/>
      <c r="C186" s="37"/>
      <c r="D186" s="7"/>
      <c r="E186" s="7"/>
      <c r="F186" s="8"/>
      <c r="G186" s="37"/>
      <c r="H186" s="7"/>
      <c r="I186" s="7"/>
      <c r="J186" s="8"/>
      <c r="K186" s="67"/>
    </row>
    <row r="187" ht="15.75" customHeight="1">
      <c r="A187" s="52"/>
      <c r="B187" s="67"/>
      <c r="C187" s="37"/>
      <c r="D187" s="7"/>
      <c r="E187" s="7"/>
      <c r="F187" s="8"/>
      <c r="G187" s="37"/>
      <c r="H187" s="7"/>
      <c r="I187" s="7"/>
      <c r="J187" s="8"/>
      <c r="K187" s="67"/>
    </row>
    <row r="188" ht="15.75" customHeight="1">
      <c r="A188" s="67"/>
      <c r="B188" s="67"/>
      <c r="C188" s="37"/>
      <c r="D188" s="7"/>
      <c r="E188" s="7"/>
      <c r="F188" s="8"/>
      <c r="G188" s="37"/>
      <c r="H188" s="7"/>
      <c r="I188" s="7"/>
      <c r="J188" s="8"/>
      <c r="K188" s="67"/>
    </row>
    <row r="189" ht="15.75" customHeight="1">
      <c r="A189" s="52"/>
      <c r="B189" s="67"/>
      <c r="C189" s="37"/>
      <c r="D189" s="7"/>
      <c r="E189" s="7"/>
      <c r="F189" s="8"/>
      <c r="G189" s="37"/>
      <c r="H189" s="7"/>
      <c r="I189" s="7"/>
      <c r="J189" s="8"/>
      <c r="K189" s="67"/>
    </row>
    <row r="190" ht="15.75" customHeight="1">
      <c r="A190" s="83"/>
      <c r="B190" s="41"/>
      <c r="C190" s="37"/>
      <c r="D190" s="7"/>
      <c r="E190" s="7"/>
      <c r="F190" s="8"/>
      <c r="G190" s="46"/>
      <c r="H190" s="7"/>
      <c r="I190" s="7"/>
      <c r="J190" s="8"/>
      <c r="K190" s="52"/>
    </row>
    <row r="191" ht="15.75" customHeight="1">
      <c r="A191" s="49"/>
      <c r="B191" s="49"/>
      <c r="C191" s="46"/>
      <c r="D191" s="7"/>
      <c r="E191" s="7"/>
      <c r="F191" s="8"/>
      <c r="G191" s="46"/>
      <c r="H191" s="7"/>
      <c r="I191" s="7"/>
      <c r="J191" s="8"/>
      <c r="K191" s="49"/>
    </row>
    <row r="192" ht="15.75" customHeight="1">
      <c r="A192" s="52"/>
      <c r="B192" s="67"/>
      <c r="C192" s="37"/>
      <c r="D192" s="7"/>
      <c r="E192" s="7"/>
      <c r="F192" s="8"/>
      <c r="G192" s="37"/>
      <c r="H192" s="7"/>
      <c r="I192" s="7"/>
      <c r="J192" s="8"/>
      <c r="K192" s="67"/>
    </row>
    <row r="193" ht="15.75" customHeight="1">
      <c r="A193" s="52"/>
      <c r="B193" s="67"/>
      <c r="C193" s="37"/>
      <c r="D193" s="7"/>
      <c r="E193" s="7"/>
      <c r="F193" s="8"/>
      <c r="G193" s="37"/>
      <c r="H193" s="7"/>
      <c r="I193" s="7"/>
      <c r="J193" s="8"/>
      <c r="K193" s="67"/>
    </row>
    <row r="194" ht="15.75" customHeight="1">
      <c r="A194" s="52"/>
      <c r="B194" s="67"/>
      <c r="C194" s="37"/>
      <c r="D194" s="7"/>
      <c r="E194" s="7"/>
      <c r="F194" s="8"/>
      <c r="G194" s="37"/>
      <c r="H194" s="7"/>
      <c r="I194" s="7"/>
      <c r="J194" s="8"/>
      <c r="K194" s="67"/>
    </row>
    <row r="195" ht="15.75" customHeight="1">
      <c r="A195" s="52"/>
      <c r="B195" s="67"/>
      <c r="C195" s="37"/>
      <c r="D195" s="7"/>
      <c r="E195" s="7"/>
      <c r="F195" s="8"/>
      <c r="G195" s="37"/>
      <c r="H195" s="7"/>
      <c r="I195" s="7"/>
      <c r="J195" s="8"/>
      <c r="K195" s="67"/>
    </row>
    <row r="196" ht="15.75" customHeight="1">
      <c r="A196" s="52"/>
      <c r="B196" s="67"/>
      <c r="C196" s="37"/>
      <c r="D196" s="7"/>
      <c r="E196" s="7"/>
      <c r="F196" s="8"/>
      <c r="G196" s="37"/>
      <c r="H196" s="7"/>
      <c r="I196" s="7"/>
      <c r="J196" s="8"/>
      <c r="K196" s="67"/>
    </row>
    <row r="197" ht="15.75" customHeight="1">
      <c r="A197" s="67"/>
      <c r="B197" s="67"/>
      <c r="C197" s="37"/>
      <c r="D197" s="7"/>
      <c r="E197" s="7"/>
      <c r="F197" s="8"/>
      <c r="G197" s="37"/>
      <c r="H197" s="7"/>
      <c r="I197" s="7"/>
      <c r="J197" s="8"/>
      <c r="K197" s="67"/>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sheetData>
  <mergeCells count="324">
    <mergeCell ref="G135:J139"/>
    <mergeCell ref="G140:J140"/>
    <mergeCell ref="G143:J148"/>
    <mergeCell ref="G121:J124"/>
    <mergeCell ref="G125:J125"/>
    <mergeCell ref="G126:J126"/>
    <mergeCell ref="G127:J127"/>
    <mergeCell ref="G128:J132"/>
    <mergeCell ref="G133:J133"/>
    <mergeCell ref="G134:J134"/>
    <mergeCell ref="C107:F107"/>
    <mergeCell ref="C108:F108"/>
    <mergeCell ref="C103:F103"/>
    <mergeCell ref="G103:J103"/>
    <mergeCell ref="C104:F104"/>
    <mergeCell ref="G104:J104"/>
    <mergeCell ref="C105:F105"/>
    <mergeCell ref="G105:J109"/>
    <mergeCell ref="C106:F106"/>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G110:J110"/>
    <mergeCell ref="G111:J111"/>
    <mergeCell ref="G112:J112"/>
    <mergeCell ref="G113:J117"/>
    <mergeCell ref="G118:J118"/>
    <mergeCell ref="G119:J119"/>
    <mergeCell ref="G120:J120"/>
    <mergeCell ref="C123:F123"/>
    <mergeCell ref="C124:F124"/>
    <mergeCell ref="C125:F125"/>
    <mergeCell ref="C126:F126"/>
    <mergeCell ref="C127:F127"/>
    <mergeCell ref="C128:F128"/>
    <mergeCell ref="C129:F129"/>
    <mergeCell ref="C139:F139"/>
    <mergeCell ref="C140:F140"/>
    <mergeCell ref="C141:F141"/>
    <mergeCell ref="G141:J141"/>
    <mergeCell ref="C142:F142"/>
    <mergeCell ref="G142:J142"/>
    <mergeCell ref="C143:F143"/>
    <mergeCell ref="C180:F180"/>
    <mergeCell ref="C181:F181"/>
    <mergeCell ref="C182:F182"/>
    <mergeCell ref="C175:F175"/>
    <mergeCell ref="C176:F176"/>
    <mergeCell ref="C177:F177"/>
    <mergeCell ref="C178:F178"/>
    <mergeCell ref="C179:F179"/>
    <mergeCell ref="G179:J179"/>
    <mergeCell ref="G180:J180"/>
    <mergeCell ref="C185:F185"/>
    <mergeCell ref="C186:F186"/>
    <mergeCell ref="C187:F187"/>
    <mergeCell ref="G181:J181"/>
    <mergeCell ref="G182:J182"/>
    <mergeCell ref="C183:F183"/>
    <mergeCell ref="G183:J183"/>
    <mergeCell ref="C184:F184"/>
    <mergeCell ref="G184:J184"/>
    <mergeCell ref="G185:J185"/>
    <mergeCell ref="C190:F190"/>
    <mergeCell ref="C191:F191"/>
    <mergeCell ref="C192:F192"/>
    <mergeCell ref="G186:J186"/>
    <mergeCell ref="G187:J187"/>
    <mergeCell ref="C188:F188"/>
    <mergeCell ref="G188:J188"/>
    <mergeCell ref="C189:F189"/>
    <mergeCell ref="G189:J189"/>
    <mergeCell ref="G190:J190"/>
    <mergeCell ref="C195:F195"/>
    <mergeCell ref="C196:F196"/>
    <mergeCell ref="C197:F197"/>
    <mergeCell ref="G191:J191"/>
    <mergeCell ref="G192:J192"/>
    <mergeCell ref="C193:F193"/>
    <mergeCell ref="G193:J193"/>
    <mergeCell ref="C194:F194"/>
    <mergeCell ref="G194:J194"/>
    <mergeCell ref="G195:J195"/>
    <mergeCell ref="C200:F200"/>
    <mergeCell ref="C201:F201"/>
    <mergeCell ref="C202:F202"/>
    <mergeCell ref="G196:J196"/>
    <mergeCell ref="G197:J197"/>
    <mergeCell ref="C198:F198"/>
    <mergeCell ref="G198:J198"/>
    <mergeCell ref="C199:F199"/>
    <mergeCell ref="G199:J199"/>
    <mergeCell ref="G200:J200"/>
    <mergeCell ref="C144:F144"/>
    <mergeCell ref="C145:F145"/>
    <mergeCell ref="C146:F146"/>
    <mergeCell ref="C147:F147"/>
    <mergeCell ref="C148:F148"/>
    <mergeCell ref="C149:F149"/>
    <mergeCell ref="G149:J149"/>
    <mergeCell ref="C150:F150"/>
    <mergeCell ref="G150:J150"/>
    <mergeCell ref="C151:F151"/>
    <mergeCell ref="G151:J151"/>
    <mergeCell ref="C152:F152"/>
    <mergeCell ref="G152:J155"/>
    <mergeCell ref="C153:F153"/>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G156:J156"/>
    <mergeCell ref="G157:J157"/>
    <mergeCell ref="G158:J158"/>
    <mergeCell ref="G159:J163"/>
    <mergeCell ref="G164:J164"/>
    <mergeCell ref="G165:J165"/>
    <mergeCell ref="G166:J166"/>
    <mergeCell ref="C168:F168"/>
    <mergeCell ref="C169:F169"/>
    <mergeCell ref="C170:F170"/>
    <mergeCell ref="C171:F171"/>
    <mergeCell ref="C172:F172"/>
    <mergeCell ref="C173:F173"/>
    <mergeCell ref="C174:F174"/>
    <mergeCell ref="G201:J201"/>
    <mergeCell ref="G202:J202"/>
    <mergeCell ref="C203:F203"/>
    <mergeCell ref="G203:J203"/>
    <mergeCell ref="C204:F204"/>
    <mergeCell ref="G204:J204"/>
    <mergeCell ref="A1:K1"/>
    <mergeCell ref="B2:K2"/>
    <mergeCell ref="B3:K3"/>
    <mergeCell ref="B4:K4"/>
    <mergeCell ref="B5:K5"/>
    <mergeCell ref="B6:K6"/>
    <mergeCell ref="A7:K7"/>
    <mergeCell ref="C12:F12"/>
    <mergeCell ref="C13:F13"/>
    <mergeCell ref="C14:F14"/>
    <mergeCell ref="C15:F15"/>
    <mergeCell ref="C8:F8"/>
    <mergeCell ref="G8:J8"/>
    <mergeCell ref="C9:F9"/>
    <mergeCell ref="G9:J9"/>
    <mergeCell ref="C10:F10"/>
    <mergeCell ref="G10:J10"/>
    <mergeCell ref="G11:J18"/>
    <mergeCell ref="C18:F18"/>
    <mergeCell ref="C16:F16"/>
    <mergeCell ref="C17:F17"/>
    <mergeCell ref="A19:K19"/>
    <mergeCell ref="C20:F20"/>
    <mergeCell ref="G20:J20"/>
    <mergeCell ref="C21:F21"/>
    <mergeCell ref="G21:J21"/>
    <mergeCell ref="G26:J26"/>
    <mergeCell ref="G27:J28"/>
    <mergeCell ref="G22:J23"/>
    <mergeCell ref="C23:F23"/>
    <mergeCell ref="A24:K24"/>
    <mergeCell ref="C25:F25"/>
    <mergeCell ref="G25:J25"/>
    <mergeCell ref="C26:F26"/>
    <mergeCell ref="C27:F27"/>
    <mergeCell ref="C54:F54"/>
    <mergeCell ref="C55:F55"/>
    <mergeCell ref="C56:F56"/>
    <mergeCell ref="C57:F57"/>
    <mergeCell ref="C58:F58"/>
    <mergeCell ref="C59:F59"/>
    <mergeCell ref="C60:F60"/>
    <mergeCell ref="C70:F70"/>
    <mergeCell ref="C71:F71"/>
    <mergeCell ref="C72:F72"/>
    <mergeCell ref="C61:F61"/>
    <mergeCell ref="C62:F62"/>
    <mergeCell ref="C64:F64"/>
    <mergeCell ref="C65:F65"/>
    <mergeCell ref="C66:F66"/>
    <mergeCell ref="C67:F67"/>
    <mergeCell ref="C69:F69"/>
    <mergeCell ref="C28:F28"/>
    <mergeCell ref="A29:K29"/>
    <mergeCell ref="C30:F30"/>
    <mergeCell ref="G30:J30"/>
    <mergeCell ref="C31:F31"/>
    <mergeCell ref="G31:J31"/>
    <mergeCell ref="C34:F34"/>
    <mergeCell ref="C32:F32"/>
    <mergeCell ref="C33:F33"/>
    <mergeCell ref="C35:F35"/>
    <mergeCell ref="C36:F36"/>
    <mergeCell ref="C37:F37"/>
    <mergeCell ref="C38:F38"/>
    <mergeCell ref="C39:F39"/>
    <mergeCell ref="G32:J34"/>
    <mergeCell ref="G35:J35"/>
    <mergeCell ref="G36:J36"/>
    <mergeCell ref="G37:J37"/>
    <mergeCell ref="G38:J41"/>
    <mergeCell ref="G42:J42"/>
    <mergeCell ref="G43:J43"/>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G44:J44"/>
    <mergeCell ref="G45:J49"/>
    <mergeCell ref="G50:J50"/>
    <mergeCell ref="G51:J51"/>
    <mergeCell ref="G52:J52"/>
    <mergeCell ref="G53:J55"/>
    <mergeCell ref="G56:J56"/>
    <mergeCell ref="G57:J57"/>
    <mergeCell ref="G58:J58"/>
    <mergeCell ref="G59:J63"/>
    <mergeCell ref="C63:F63"/>
    <mergeCell ref="G64:J64"/>
    <mergeCell ref="G65:J65"/>
    <mergeCell ref="G66:J66"/>
    <mergeCell ref="G97:J97"/>
    <mergeCell ref="G98:J101"/>
    <mergeCell ref="G85:J89"/>
    <mergeCell ref="G90:J90"/>
    <mergeCell ref="G91:J91"/>
    <mergeCell ref="G92:J92"/>
    <mergeCell ref="G93:J94"/>
    <mergeCell ref="G95:J95"/>
    <mergeCell ref="G96:J96"/>
    <mergeCell ref="C74:F74"/>
    <mergeCell ref="C75:F75"/>
    <mergeCell ref="G67:J68"/>
    <mergeCell ref="C68:F68"/>
    <mergeCell ref="G69:J69"/>
    <mergeCell ref="G70:J70"/>
    <mergeCell ref="G71:J71"/>
    <mergeCell ref="G72:J76"/>
    <mergeCell ref="C73:F73"/>
    <mergeCell ref="C76:F76"/>
    <mergeCell ref="C77:F77"/>
    <mergeCell ref="C78:F78"/>
    <mergeCell ref="C79:F79"/>
    <mergeCell ref="C80:F80"/>
    <mergeCell ref="C81:F81"/>
    <mergeCell ref="C82:F82"/>
    <mergeCell ref="G77:J77"/>
    <mergeCell ref="G78:J78"/>
    <mergeCell ref="G79:J79"/>
    <mergeCell ref="G80:J81"/>
    <mergeCell ref="G82:J82"/>
    <mergeCell ref="G83:J83"/>
    <mergeCell ref="G84:J84"/>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G102:J102"/>
    <mergeCell ref="C137:F137"/>
    <mergeCell ref="C138:F138"/>
    <mergeCell ref="C130:F130"/>
    <mergeCell ref="C131:F131"/>
    <mergeCell ref="C132:F132"/>
    <mergeCell ref="C133:F133"/>
    <mergeCell ref="C134:F134"/>
    <mergeCell ref="C135:F135"/>
    <mergeCell ref="C136:F136"/>
    <mergeCell ref="G177:J177"/>
    <mergeCell ref="G178:J178"/>
    <mergeCell ref="G167:J170"/>
    <mergeCell ref="G171:J171"/>
    <mergeCell ref="G172:J172"/>
    <mergeCell ref="G173:J173"/>
    <mergeCell ref="G174:J174"/>
    <mergeCell ref="G175:J175"/>
    <mergeCell ref="G176:J17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25.88"/>
    <col customWidth="1" min="6" max="6" width="6.88"/>
    <col customWidth="1" min="10" max="10" width="4.5"/>
    <col customWidth="1" min="11" max="11" width="22.88"/>
  </cols>
  <sheetData>
    <row r="1" ht="42.0" customHeight="1">
      <c r="A1" s="2" t="s">
        <v>4</v>
      </c>
      <c r="B1" s="4"/>
      <c r="C1" s="4"/>
      <c r="D1" s="4"/>
      <c r="E1" s="4"/>
      <c r="F1" s="4"/>
      <c r="G1" s="4"/>
      <c r="H1" s="4"/>
      <c r="I1" s="4"/>
      <c r="J1" s="4"/>
      <c r="K1" s="6"/>
    </row>
    <row r="2" ht="45.0" customHeight="1">
      <c r="A2" s="12" t="s">
        <v>6</v>
      </c>
      <c r="B2" s="14" t="s">
        <v>12</v>
      </c>
      <c r="C2" s="7"/>
      <c r="D2" s="7"/>
      <c r="E2" s="7"/>
      <c r="F2" s="7"/>
      <c r="G2" s="7"/>
      <c r="H2" s="7"/>
      <c r="I2" s="7"/>
      <c r="J2" s="7"/>
      <c r="K2" s="8"/>
    </row>
    <row r="3" ht="15.75" customHeight="1">
      <c r="A3" s="17">
        <v>1.0</v>
      </c>
      <c r="B3" s="21" t="s">
        <v>16</v>
      </c>
      <c r="C3" s="22"/>
      <c r="D3" s="22"/>
      <c r="E3" s="22"/>
      <c r="F3" s="22"/>
      <c r="G3" s="22"/>
      <c r="H3" s="22"/>
      <c r="I3" s="22"/>
      <c r="J3" s="22"/>
      <c r="K3" s="23"/>
    </row>
    <row r="4" ht="15.75" customHeight="1">
      <c r="A4" s="17">
        <v>2.0</v>
      </c>
      <c r="B4" s="25"/>
      <c r="K4" s="26"/>
    </row>
    <row r="5" ht="15.75" customHeight="1">
      <c r="A5" s="17">
        <v>3.0</v>
      </c>
      <c r="B5" s="25"/>
      <c r="K5" s="26"/>
    </row>
    <row r="6" ht="15.75" customHeight="1">
      <c r="A6" s="17">
        <v>4.0</v>
      </c>
      <c r="B6" s="27"/>
      <c r="C6" s="28"/>
      <c r="D6" s="28"/>
      <c r="E6" s="28"/>
      <c r="F6" s="28"/>
      <c r="G6" s="28"/>
      <c r="H6" s="28"/>
      <c r="I6" s="28"/>
      <c r="J6" s="28"/>
      <c r="K6" s="29"/>
    </row>
    <row r="7" ht="15.75" customHeight="1">
      <c r="A7" s="32" t="s">
        <v>20</v>
      </c>
      <c r="B7" s="7"/>
      <c r="C7" s="7"/>
      <c r="D7" s="7"/>
      <c r="E7" s="7"/>
      <c r="F7" s="7"/>
      <c r="G7" s="7"/>
      <c r="H7" s="7"/>
      <c r="I7" s="7"/>
      <c r="J7" s="7"/>
      <c r="K7" s="8"/>
    </row>
    <row r="8" ht="38.25" customHeight="1"/>
    <row r="9" ht="15.75" customHeight="1">
      <c r="A9" s="34"/>
      <c r="B9" s="35"/>
      <c r="C9" s="37"/>
      <c r="D9" s="7"/>
      <c r="E9" s="7"/>
      <c r="F9" s="8"/>
      <c r="G9" s="35"/>
      <c r="H9" s="7"/>
      <c r="I9" s="7"/>
      <c r="J9" s="8"/>
      <c r="K9" s="39"/>
    </row>
    <row r="10" ht="15.75" customHeight="1">
      <c r="A10" s="40">
        <v>1.0</v>
      </c>
      <c r="B10" s="41" t="s">
        <v>7</v>
      </c>
      <c r="C10" s="37" t="str">
        <f>'TABLAS '!B5</f>
        <v>rol </v>
      </c>
      <c r="D10" s="7"/>
      <c r="E10" s="7"/>
      <c r="F10" s="8"/>
      <c r="G10" s="46" t="s">
        <v>8</v>
      </c>
      <c r="H10" s="7"/>
      <c r="I10" s="7"/>
      <c r="J10" s="8"/>
      <c r="K10" s="48" t="str">
        <f>'TABLAS '!C5</f>
        <v>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v>
      </c>
    </row>
    <row r="11" ht="15.75" customHeight="1">
      <c r="A11" s="49" t="s">
        <v>5</v>
      </c>
      <c r="B11" s="49" t="s">
        <v>71</v>
      </c>
      <c r="C11" s="46" t="s">
        <v>72</v>
      </c>
      <c r="D11" s="7"/>
      <c r="E11" s="7"/>
      <c r="F11" s="8"/>
      <c r="G11" s="46" t="s">
        <v>11</v>
      </c>
      <c r="H11" s="7"/>
      <c r="I11" s="7"/>
      <c r="J11" s="8"/>
      <c r="K11" s="49" t="s">
        <v>77</v>
      </c>
    </row>
    <row r="12" ht="15.75" customHeight="1">
      <c r="A12" s="52">
        <v>1.0</v>
      </c>
      <c r="B12" s="54" t="s">
        <v>81</v>
      </c>
      <c r="C12" s="55" t="s">
        <v>86</v>
      </c>
      <c r="D12" s="57"/>
      <c r="E12" s="57"/>
      <c r="F12" s="59"/>
      <c r="G12" s="61" t="str">
        <f>'TABLAS '!C5</f>
        <v>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v>
      </c>
      <c r="H12" s="22"/>
      <c r="I12" s="22"/>
      <c r="J12" s="23"/>
      <c r="K12" s="54" t="s">
        <v>101</v>
      </c>
    </row>
    <row r="13" ht="15.75" customHeight="1">
      <c r="A13" s="52">
        <v>2.0</v>
      </c>
      <c r="B13" s="54" t="s">
        <v>102</v>
      </c>
      <c r="C13" s="62" t="s">
        <v>103</v>
      </c>
      <c r="D13" s="28"/>
      <c r="E13" s="28"/>
      <c r="F13" s="29"/>
      <c r="G13" s="25"/>
      <c r="J13" s="26"/>
      <c r="K13" s="54" t="s">
        <v>104</v>
      </c>
    </row>
    <row r="14" ht="15.75" customHeight="1">
      <c r="A14" s="52">
        <v>3.0</v>
      </c>
      <c r="B14" s="54" t="s">
        <v>105</v>
      </c>
      <c r="C14" s="64" t="s">
        <v>106</v>
      </c>
      <c r="D14" s="28"/>
      <c r="E14" s="28"/>
      <c r="F14" s="29"/>
      <c r="G14" s="25"/>
      <c r="J14" s="26"/>
      <c r="K14" s="54" t="s">
        <v>104</v>
      </c>
    </row>
    <row r="15" ht="15.75" customHeight="1">
      <c r="A15" s="48">
        <v>4.0</v>
      </c>
      <c r="B15" s="54" t="s">
        <v>107</v>
      </c>
      <c r="C15" s="62" t="s">
        <v>108</v>
      </c>
      <c r="D15" s="28"/>
      <c r="E15" s="28"/>
      <c r="F15" s="29"/>
      <c r="G15" s="25"/>
      <c r="J15" s="26"/>
      <c r="K15" s="54" t="s">
        <v>109</v>
      </c>
    </row>
    <row r="16" ht="15.75" customHeight="1">
      <c r="A16" s="52">
        <v>5.0</v>
      </c>
      <c r="B16" s="54" t="s">
        <v>110</v>
      </c>
      <c r="C16" s="66" t="s">
        <v>111</v>
      </c>
      <c r="D16" s="7"/>
      <c r="E16" s="7"/>
      <c r="F16" s="8"/>
      <c r="G16" s="25"/>
      <c r="J16" s="26"/>
      <c r="K16" s="67"/>
    </row>
    <row r="17" ht="15.75" customHeight="1">
      <c r="A17" s="48">
        <v>6.0</v>
      </c>
      <c r="B17" s="54" t="s">
        <v>112</v>
      </c>
      <c r="C17" s="66" t="s">
        <v>113</v>
      </c>
      <c r="D17" s="7"/>
      <c r="E17" s="7"/>
      <c r="F17" s="8"/>
      <c r="G17" s="25"/>
      <c r="J17" s="26"/>
      <c r="K17" s="67"/>
    </row>
    <row r="18" ht="15.75" customHeight="1">
      <c r="A18" s="52">
        <v>7.0</v>
      </c>
      <c r="B18" s="54" t="s">
        <v>114</v>
      </c>
      <c r="C18" s="70" t="s">
        <v>115</v>
      </c>
      <c r="D18" s="7"/>
      <c r="E18" s="7"/>
      <c r="F18" s="8"/>
      <c r="G18" s="25"/>
      <c r="J18" s="26"/>
      <c r="K18" s="67"/>
    </row>
    <row r="19" ht="15.75" customHeight="1">
      <c r="A19" s="48">
        <v>8.0</v>
      </c>
      <c r="B19" s="54" t="s">
        <v>116</v>
      </c>
      <c r="C19" s="70" t="s">
        <v>117</v>
      </c>
      <c r="D19" s="7"/>
      <c r="E19" s="7"/>
      <c r="F19" s="8"/>
      <c r="G19" s="27"/>
      <c r="H19" s="28"/>
      <c r="I19" s="28"/>
      <c r="J19" s="29"/>
      <c r="K19" s="67"/>
    </row>
    <row r="20" ht="15.75" customHeight="1">
      <c r="A20" s="72"/>
      <c r="B20" s="7"/>
      <c r="C20" s="7"/>
      <c r="D20" s="7"/>
      <c r="E20" s="7"/>
      <c r="F20" s="7"/>
      <c r="G20" s="7"/>
      <c r="H20" s="7"/>
      <c r="I20" s="7"/>
      <c r="J20" s="7"/>
      <c r="K20" s="8"/>
    </row>
    <row r="21" ht="15.75" customHeight="1">
      <c r="A21" s="40">
        <v>2.0</v>
      </c>
      <c r="B21" s="41" t="s">
        <v>7</v>
      </c>
      <c r="C21" s="37" t="str">
        <f>'TABLAS '!B6</f>
        <v>tipo_usuario</v>
      </c>
      <c r="D21" s="7"/>
      <c r="E21" s="7"/>
      <c r="F21" s="8"/>
      <c r="G21" s="46" t="s">
        <v>8</v>
      </c>
      <c r="H21" s="7"/>
      <c r="I21" s="7"/>
      <c r="J21" s="8"/>
      <c r="K21" s="48" t="str">
        <f>'TABLAS '!C6</f>
        <v>Estos son potenciales tipos de usuario: estudiante, docente, empleado, empresario, invitado, público en general, entre otros. Sirve para clasificación y estadística. Los ingresa el Usuario con Rol de Administrador.</v>
      </c>
    </row>
    <row r="22" ht="15.75" customHeight="1">
      <c r="A22" s="49" t="s">
        <v>5</v>
      </c>
      <c r="B22" s="49" t="s">
        <v>71</v>
      </c>
      <c r="C22" s="46" t="s">
        <v>72</v>
      </c>
      <c r="D22" s="7"/>
      <c r="E22" s="7"/>
      <c r="F22" s="8"/>
      <c r="G22" s="46" t="s">
        <v>11</v>
      </c>
      <c r="H22" s="7"/>
      <c r="I22" s="7"/>
      <c r="J22" s="8"/>
      <c r="K22" s="49" t="s">
        <v>77</v>
      </c>
    </row>
    <row r="23" ht="15.75" customHeight="1">
      <c r="A23" s="52">
        <v>1.0</v>
      </c>
      <c r="B23" s="54" t="s">
        <v>105</v>
      </c>
      <c r="C23" s="75" t="s">
        <v>106</v>
      </c>
      <c r="D23" s="57"/>
      <c r="E23" s="57"/>
      <c r="F23" s="59"/>
      <c r="G23" s="76" t="str">
        <f>'TABLAS '!C6</f>
        <v>Estos son potenciales tipos de usuario: estudiante, docente, empleado, empresario, invitado, público en general, entre otros. Sirve para clasificación y estadística. Los ingresa el Usuario con Rol de Administrador.</v>
      </c>
      <c r="H23" s="22"/>
      <c r="I23" s="22"/>
      <c r="J23" s="23"/>
      <c r="K23" s="54" t="s">
        <v>101</v>
      </c>
    </row>
    <row r="24" ht="15.75" customHeight="1">
      <c r="A24" s="52">
        <v>2.0</v>
      </c>
      <c r="B24" s="54" t="s">
        <v>119</v>
      </c>
      <c r="C24" s="62" t="s">
        <v>120</v>
      </c>
      <c r="D24" s="28"/>
      <c r="E24" s="28"/>
      <c r="F24" s="29"/>
      <c r="G24" s="27"/>
      <c r="H24" s="28"/>
      <c r="I24" s="28"/>
      <c r="J24" s="29"/>
      <c r="K24" s="54" t="s">
        <v>109</v>
      </c>
    </row>
    <row r="25" ht="15.75" customHeight="1">
      <c r="A25" s="77"/>
      <c r="B25" s="7"/>
      <c r="C25" s="7"/>
      <c r="D25" s="7"/>
      <c r="E25" s="7"/>
      <c r="F25" s="7"/>
      <c r="G25" s="7"/>
      <c r="H25" s="7"/>
      <c r="I25" s="7"/>
      <c r="J25" s="7"/>
      <c r="K25" s="8"/>
    </row>
    <row r="26" ht="15.75" customHeight="1">
      <c r="A26" s="78">
        <v>3.0</v>
      </c>
      <c r="B26" s="79" t="s">
        <v>7</v>
      </c>
      <c r="C26" s="35" t="str">
        <f>'TABLAS '!B7</f>
        <v>perfil </v>
      </c>
      <c r="D26" s="7"/>
      <c r="E26" s="7"/>
      <c r="F26" s="8"/>
      <c r="G26" s="46" t="str">
        <f>G21</f>
        <v>Descripción Tabla</v>
      </c>
      <c r="H26" s="7"/>
      <c r="I26" s="7"/>
      <c r="J26" s="8"/>
      <c r="K26" s="81" t="str">
        <f>'TABLAS '!C7</f>
        <v>Compartir su área de estudio, intereses, habilidades en diferentes disciplinas o deportes, etc. Estos perfiles permiten conectar con compañeros para encontrar y seguir a otros estudiantes con intereses y/o actividades similares.</v>
      </c>
    </row>
    <row r="27" ht="15.75" customHeight="1">
      <c r="A27" s="49" t="s">
        <v>5</v>
      </c>
      <c r="B27" s="49" t="s">
        <v>71</v>
      </c>
      <c r="C27" s="46" t="s">
        <v>72</v>
      </c>
      <c r="D27" s="7"/>
      <c r="E27" s="7"/>
      <c r="F27" s="8"/>
      <c r="G27" s="46" t="s">
        <v>11</v>
      </c>
      <c r="H27" s="7"/>
      <c r="I27" s="7"/>
      <c r="J27" s="8"/>
      <c r="K27" s="49" t="s">
        <v>77</v>
      </c>
    </row>
    <row r="28" ht="15.75" customHeight="1">
      <c r="A28" s="52">
        <v>1.0</v>
      </c>
      <c r="B28" s="54" t="s">
        <v>102</v>
      </c>
      <c r="C28" s="70" t="s">
        <v>121</v>
      </c>
      <c r="D28" s="7"/>
      <c r="E28" s="7"/>
      <c r="F28" s="8"/>
      <c r="G28" s="76" t="str">
        <f>'TABLAS '!C7</f>
        <v>Compartir su área de estudio, intereses, habilidades en diferentes disciplinas o deportes, etc. Estos perfiles permiten conectar con compañeros para encontrar y seguir a otros estudiantes con intereses y/o actividades similares.</v>
      </c>
      <c r="H28" s="22"/>
      <c r="I28" s="22"/>
      <c r="J28" s="23"/>
      <c r="K28" s="54" t="s">
        <v>101</v>
      </c>
    </row>
    <row r="29" ht="15.75" customHeight="1">
      <c r="A29" s="52">
        <v>2.0</v>
      </c>
      <c r="B29" s="54" t="s">
        <v>122</v>
      </c>
      <c r="C29" s="70" t="s">
        <v>123</v>
      </c>
      <c r="D29" s="7"/>
      <c r="E29" s="7"/>
      <c r="F29" s="8"/>
      <c r="G29" s="27"/>
      <c r="H29" s="28"/>
      <c r="I29" s="28"/>
      <c r="J29" s="29"/>
      <c r="K29" s="54"/>
    </row>
    <row r="30" ht="15.75" customHeight="1">
      <c r="A30" s="82"/>
      <c r="B30" s="7"/>
      <c r="C30" s="7"/>
      <c r="D30" s="7"/>
      <c r="E30" s="7"/>
      <c r="F30" s="7"/>
      <c r="G30" s="7"/>
      <c r="H30" s="7"/>
      <c r="I30" s="7"/>
      <c r="J30" s="7"/>
      <c r="K30" s="8"/>
    </row>
    <row r="31" ht="15.75" customHeight="1">
      <c r="A31" s="83">
        <v>4.0</v>
      </c>
      <c r="B31" s="41" t="s">
        <v>7</v>
      </c>
      <c r="C31" s="37" t="str">
        <f>'TABLAS '!B8</f>
        <v>publicacion </v>
      </c>
      <c r="D31" s="7"/>
      <c r="E31" s="7"/>
      <c r="F31" s="8"/>
      <c r="G31" s="46" t="s">
        <v>8</v>
      </c>
      <c r="H31" s="7"/>
      <c r="I31" s="7"/>
      <c r="J31" s="8"/>
      <c r="K31" s="52" t="str">
        <f>'TABLAS '!C8</f>
        <v>Compartir preguntas sobre tareas, recursos útiles, noticias de la industria tecnológica o incluso memes relevantes para la vida universitaria, entre otros. Las ingresa el usuario participante.</v>
      </c>
    </row>
    <row r="32" ht="15.75" customHeight="1">
      <c r="A32" s="49" t="s">
        <v>5</v>
      </c>
      <c r="B32" s="49" t="s">
        <v>71</v>
      </c>
      <c r="C32" s="46" t="s">
        <v>72</v>
      </c>
      <c r="D32" s="7"/>
      <c r="E32" s="7"/>
      <c r="F32" s="8"/>
      <c r="G32" s="46" t="s">
        <v>11</v>
      </c>
      <c r="H32" s="7"/>
      <c r="I32" s="7"/>
      <c r="J32" s="8"/>
      <c r="K32" s="49" t="s">
        <v>77</v>
      </c>
    </row>
    <row r="33" ht="15.75" customHeight="1">
      <c r="A33" s="48">
        <v>1.0</v>
      </c>
      <c r="B33" s="54" t="s">
        <v>124</v>
      </c>
      <c r="C33" s="62" t="s">
        <v>125</v>
      </c>
      <c r="D33" s="28"/>
      <c r="E33" s="28"/>
      <c r="F33" s="29"/>
      <c r="G33" s="61" t="str">
        <f>'TABLAS '!C8</f>
        <v>Compartir preguntas sobre tareas, recursos útiles, noticias de la industria tecnológica o incluso memes relevantes para la vida universitaria, entre otros. Las ingresa el usuario participante.</v>
      </c>
      <c r="H33" s="22"/>
      <c r="I33" s="22"/>
      <c r="J33" s="23"/>
      <c r="K33" s="54" t="s">
        <v>101</v>
      </c>
    </row>
    <row r="34" ht="15.75" customHeight="1">
      <c r="A34" s="48">
        <v>2.0</v>
      </c>
      <c r="B34" s="54" t="str">
        <f>B12</f>
        <v>id_usuario</v>
      </c>
      <c r="C34" s="62" t="s">
        <v>127</v>
      </c>
      <c r="D34" s="28"/>
      <c r="E34" s="28"/>
      <c r="F34" s="29"/>
      <c r="G34" s="25"/>
      <c r="J34" s="26"/>
      <c r="K34" s="54" t="s">
        <v>104</v>
      </c>
    </row>
    <row r="35" ht="15.75" customHeight="1">
      <c r="A35" s="48">
        <v>3.0</v>
      </c>
      <c r="B35" s="54" t="s">
        <v>128</v>
      </c>
      <c r="C35" s="62" t="s">
        <v>129</v>
      </c>
      <c r="D35" s="28"/>
      <c r="E35" s="28"/>
      <c r="F35" s="29"/>
      <c r="G35" s="27"/>
      <c r="H35" s="28"/>
      <c r="I35" s="28"/>
      <c r="J35" s="29"/>
      <c r="K35" s="67"/>
    </row>
    <row r="36" ht="15.75" customHeight="1">
      <c r="A36" s="52"/>
      <c r="B36" s="67"/>
      <c r="C36" s="37"/>
      <c r="D36" s="7"/>
      <c r="E36" s="7"/>
      <c r="F36" s="8"/>
      <c r="G36" s="37"/>
      <c r="H36" s="7"/>
      <c r="I36" s="7"/>
      <c r="J36" s="8"/>
      <c r="K36" s="67"/>
    </row>
    <row r="37" ht="15.75" customHeight="1">
      <c r="A37" s="83">
        <v>5.0</v>
      </c>
      <c r="B37" s="41" t="s">
        <v>7</v>
      </c>
      <c r="C37" s="37" t="str">
        <f>'TABLAS '!B9</f>
        <v>comentario </v>
      </c>
      <c r="D37" s="7"/>
      <c r="E37" s="7"/>
      <c r="F37" s="8"/>
      <c r="G37" s="46" t="s">
        <v>8</v>
      </c>
      <c r="H37" s="7"/>
      <c r="I37" s="7"/>
      <c r="J37" s="8"/>
      <c r="K37" s="52" t="str">
        <f>'TABLAS '!C9</f>
        <v>Comentarios que se hacen a las publicaciones. Ejemplo: un estudiante publica una nota sobre la participación de Colombia en el Mundial de Fútbol; otros usuarios pueden comentar esta publicación</v>
      </c>
    </row>
    <row r="38" ht="15.75" customHeight="1">
      <c r="A38" s="49" t="s">
        <v>5</v>
      </c>
      <c r="B38" s="49" t="s">
        <v>71</v>
      </c>
      <c r="C38" s="46" t="s">
        <v>72</v>
      </c>
      <c r="D38" s="7"/>
      <c r="E38" s="7"/>
      <c r="F38" s="8"/>
      <c r="G38" s="46" t="s">
        <v>11</v>
      </c>
      <c r="H38" s="7"/>
      <c r="I38" s="7"/>
      <c r="J38" s="8"/>
      <c r="K38" s="49" t="s">
        <v>77</v>
      </c>
    </row>
    <row r="39" ht="15.75" customHeight="1">
      <c r="A39" s="48">
        <v>1.0</v>
      </c>
      <c r="B39" s="54" t="s">
        <v>130</v>
      </c>
      <c r="C39" s="64" t="s">
        <v>131</v>
      </c>
      <c r="D39" s="28"/>
      <c r="E39" s="28"/>
      <c r="F39" s="29"/>
      <c r="G39" s="76" t="str">
        <f>'TABLAS '!C8</f>
        <v>Compartir preguntas sobre tareas, recursos útiles, noticias de la industria tecnológica o incluso memes relevantes para la vida universitaria, entre otros. Las ingresa el usuario participante.</v>
      </c>
      <c r="H39" s="22"/>
      <c r="I39" s="22"/>
      <c r="J39" s="23"/>
      <c r="K39" s="54" t="s">
        <v>101</v>
      </c>
    </row>
    <row r="40" ht="15.75" customHeight="1">
      <c r="A40" s="48">
        <v>2.0</v>
      </c>
      <c r="B40" s="67" t="str">
        <f>B12</f>
        <v>id_usuario</v>
      </c>
      <c r="C40" s="64" t="s">
        <v>132</v>
      </c>
      <c r="D40" s="28"/>
      <c r="E40" s="28"/>
      <c r="F40" s="29"/>
      <c r="G40" s="25"/>
      <c r="J40" s="26"/>
      <c r="K40" s="54" t="s">
        <v>104</v>
      </c>
    </row>
    <row r="41" ht="15.75" customHeight="1">
      <c r="A41" s="48">
        <v>3.0</v>
      </c>
      <c r="B41" s="54" t="s">
        <v>133</v>
      </c>
      <c r="C41" s="64" t="s">
        <v>134</v>
      </c>
      <c r="D41" s="28"/>
      <c r="E41" s="28"/>
      <c r="F41" s="29"/>
      <c r="G41" s="25"/>
      <c r="J41" s="26"/>
      <c r="K41" s="67"/>
    </row>
    <row r="42" ht="15.75" customHeight="1">
      <c r="A42" s="48">
        <v>4.0</v>
      </c>
      <c r="B42" s="54" t="s">
        <v>135</v>
      </c>
      <c r="C42" s="64" t="s">
        <v>136</v>
      </c>
      <c r="D42" s="28"/>
      <c r="E42" s="28"/>
      <c r="F42" s="29"/>
      <c r="G42" s="27"/>
      <c r="H42" s="28"/>
      <c r="I42" s="28"/>
      <c r="J42" s="29"/>
      <c r="K42" s="67"/>
    </row>
    <row r="43" ht="15.75" customHeight="1">
      <c r="A43" s="67"/>
      <c r="B43" s="67"/>
      <c r="C43" s="37"/>
      <c r="D43" s="7"/>
      <c r="E43" s="7"/>
      <c r="F43" s="8"/>
      <c r="G43" s="37"/>
      <c r="H43" s="7"/>
      <c r="I43" s="7"/>
      <c r="J43" s="8"/>
      <c r="K43" s="67"/>
    </row>
    <row r="44" ht="15.75" customHeight="1">
      <c r="A44" s="83">
        <v>6.0</v>
      </c>
      <c r="B44" s="41" t="s">
        <v>7</v>
      </c>
      <c r="C44" s="37" t="str">
        <f>'TABLAS '!B10</f>
        <v>grupo </v>
      </c>
      <c r="D44" s="7"/>
      <c r="E44" s="7"/>
      <c r="F44" s="8"/>
      <c r="G44" s="46" t="s">
        <v>8</v>
      </c>
      <c r="H44" s="7"/>
      <c r="I44" s="7"/>
      <c r="J44" s="8"/>
      <c r="K44" s="52" t="str">
        <f>'TABLAS '!C10</f>
        <v>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v>
      </c>
    </row>
    <row r="45" ht="15.75" customHeight="1">
      <c r="A45" s="49" t="s">
        <v>5</v>
      </c>
      <c r="B45" s="49" t="s">
        <v>71</v>
      </c>
      <c r="C45" s="46" t="s">
        <v>72</v>
      </c>
      <c r="D45" s="7"/>
      <c r="E45" s="7"/>
      <c r="F45" s="8"/>
      <c r="G45" s="46" t="s">
        <v>11</v>
      </c>
      <c r="H45" s="7"/>
      <c r="I45" s="7"/>
      <c r="J45" s="8"/>
      <c r="K45" s="49" t="s">
        <v>77</v>
      </c>
    </row>
    <row r="46" ht="15.75" customHeight="1">
      <c r="A46" s="48">
        <v>1.0</v>
      </c>
      <c r="B46" s="54" t="s">
        <v>137</v>
      </c>
      <c r="C46" s="62" t="s">
        <v>138</v>
      </c>
      <c r="D46" s="28"/>
      <c r="E46" s="28"/>
      <c r="F46" s="29"/>
      <c r="G46" s="76" t="str">
        <f>'TABLAS '!C10</f>
        <v>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v>
      </c>
      <c r="H46" s="22"/>
      <c r="I46" s="22"/>
      <c r="J46" s="23"/>
      <c r="K46" s="54" t="s">
        <v>101</v>
      </c>
    </row>
    <row r="47" ht="15.75" customHeight="1">
      <c r="A47" s="48">
        <v>2.0</v>
      </c>
      <c r="B47" s="54" t="s">
        <v>81</v>
      </c>
      <c r="C47" s="64" t="s">
        <v>139</v>
      </c>
      <c r="D47" s="28"/>
      <c r="E47" s="28"/>
      <c r="F47" s="29"/>
      <c r="G47" s="25"/>
      <c r="J47" s="26"/>
      <c r="K47" s="54" t="s">
        <v>104</v>
      </c>
    </row>
    <row r="48" ht="15.75" customHeight="1">
      <c r="A48" s="48">
        <v>3.0</v>
      </c>
      <c r="B48" s="54" t="s">
        <v>130</v>
      </c>
      <c r="C48" s="62" t="s">
        <v>140</v>
      </c>
      <c r="D48" s="28"/>
      <c r="E48" s="28"/>
      <c r="F48" s="29"/>
      <c r="G48" s="25"/>
      <c r="J48" s="26"/>
      <c r="K48" s="54" t="s">
        <v>104</v>
      </c>
    </row>
    <row r="49" ht="15.75" customHeight="1">
      <c r="A49" s="48">
        <v>4.0</v>
      </c>
      <c r="B49" s="54" t="s">
        <v>133</v>
      </c>
      <c r="C49" s="62" t="s">
        <v>141</v>
      </c>
      <c r="D49" s="28"/>
      <c r="E49" s="28"/>
      <c r="F49" s="29"/>
      <c r="G49" s="25"/>
      <c r="J49" s="26"/>
      <c r="K49" s="67"/>
    </row>
    <row r="50" ht="15.75" customHeight="1">
      <c r="A50" s="48">
        <v>5.0</v>
      </c>
      <c r="B50" s="54" t="s">
        <v>135</v>
      </c>
      <c r="C50" s="86" t="s">
        <v>142</v>
      </c>
      <c r="D50" s="7"/>
      <c r="E50" s="7"/>
      <c r="F50" s="8"/>
      <c r="G50" s="27"/>
      <c r="H50" s="28"/>
      <c r="I50" s="28"/>
      <c r="J50" s="29"/>
      <c r="K50" s="67"/>
    </row>
    <row r="51" ht="15.75" customHeight="1">
      <c r="A51" s="67"/>
      <c r="B51" s="67"/>
      <c r="C51" s="37"/>
      <c r="D51" s="7"/>
      <c r="E51" s="7"/>
      <c r="F51" s="8"/>
      <c r="G51" s="37"/>
      <c r="H51" s="7"/>
      <c r="I51" s="7"/>
      <c r="J51" s="8"/>
      <c r="K51" s="67"/>
    </row>
    <row r="52" ht="15.75" customHeight="1">
      <c r="A52" s="83">
        <v>7.0</v>
      </c>
      <c r="B52" s="41" t="s">
        <v>7</v>
      </c>
      <c r="C52" s="37" t="str">
        <f>'TABLAS '!B11</f>
        <v>servicio</v>
      </c>
      <c r="D52" s="7"/>
      <c r="E52" s="7"/>
      <c r="F52" s="8"/>
      <c r="G52" s="46" t="s">
        <v>8</v>
      </c>
      <c r="H52" s="7"/>
      <c r="I52" s="7"/>
      <c r="J52" s="8"/>
      <c r="K52" s="52" t="str">
        <f>'TABLAS '!C11</f>
        <v>Los servicios los ofrece un usuario. Debe tener asociado un “Tipo de Servicio” con su descripción y precio (duración y ubicación si aplica). Los ingresa el usuario participante.</v>
      </c>
    </row>
    <row r="53" ht="15.75" customHeight="1">
      <c r="A53" s="49" t="s">
        <v>5</v>
      </c>
      <c r="B53" s="49" t="s">
        <v>71</v>
      </c>
      <c r="C53" s="46" t="s">
        <v>72</v>
      </c>
      <c r="D53" s="7"/>
      <c r="E53" s="7"/>
      <c r="F53" s="8"/>
      <c r="G53" s="46" t="s">
        <v>11</v>
      </c>
      <c r="H53" s="7"/>
      <c r="I53" s="7"/>
      <c r="J53" s="8"/>
      <c r="K53" s="49" t="s">
        <v>77</v>
      </c>
    </row>
    <row r="54" ht="15.75" customHeight="1">
      <c r="A54" s="48">
        <v>1.0</v>
      </c>
      <c r="B54" s="54" t="s">
        <v>143</v>
      </c>
      <c r="C54" s="64" t="s">
        <v>144</v>
      </c>
      <c r="D54" s="28"/>
      <c r="E54" s="28"/>
      <c r="F54" s="29"/>
      <c r="G54" s="76" t="str">
        <f>'TABLAS '!C11</f>
        <v>Los servicios los ofrece un usuario. Debe tener asociado un “Tipo de Servicio” con su descripción y precio (duración y ubicación si aplica). Los ingresa el usuario participante.</v>
      </c>
      <c r="H54" s="22"/>
      <c r="I54" s="22"/>
      <c r="J54" s="23"/>
      <c r="K54" s="54" t="s">
        <v>101</v>
      </c>
    </row>
    <row r="55" ht="15.75" customHeight="1">
      <c r="A55" s="48">
        <v>2.0</v>
      </c>
      <c r="B55" s="54" t="s">
        <v>124</v>
      </c>
      <c r="C55" s="62" t="s">
        <v>145</v>
      </c>
      <c r="D55" s="28"/>
      <c r="E55" s="28"/>
      <c r="F55" s="29"/>
      <c r="G55" s="25"/>
      <c r="J55" s="26"/>
      <c r="K55" s="54" t="s">
        <v>104</v>
      </c>
    </row>
    <row r="56" ht="15.75" customHeight="1">
      <c r="A56" s="48">
        <v>3.0</v>
      </c>
      <c r="B56" s="54" t="s">
        <v>146</v>
      </c>
      <c r="C56" s="64" t="s">
        <v>147</v>
      </c>
      <c r="D56" s="28"/>
      <c r="E56" s="28"/>
      <c r="F56" s="29"/>
      <c r="G56" s="27"/>
      <c r="H56" s="28"/>
      <c r="I56" s="28"/>
      <c r="J56" s="29"/>
      <c r="K56" s="67"/>
    </row>
    <row r="57" ht="15.75" customHeight="1">
      <c r="A57" s="67"/>
      <c r="B57" s="67"/>
      <c r="C57" s="37"/>
      <c r="D57" s="7"/>
      <c r="E57" s="7"/>
      <c r="F57" s="8"/>
      <c r="G57" s="37"/>
      <c r="H57" s="7"/>
      <c r="I57" s="7"/>
      <c r="J57" s="8"/>
      <c r="K57" s="67"/>
    </row>
    <row r="58" ht="15.75" customHeight="1">
      <c r="A58" s="83">
        <v>8.0</v>
      </c>
      <c r="B58" s="41" t="s">
        <v>7</v>
      </c>
      <c r="C58" s="37" t="str">
        <f>'TABLAS '!B12</f>
        <v>tipo_servicio</v>
      </c>
      <c r="D58" s="7"/>
      <c r="E58" s="7"/>
      <c r="F58" s="8"/>
      <c r="G58" s="46" t="s">
        <v>8</v>
      </c>
      <c r="H58" s="7"/>
      <c r="I58" s="7"/>
      <c r="J58" s="8"/>
      <c r="K58" s="52" t="str">
        <f>'TABLAS '!C13</f>
        <v>Los usuarios pueden postear productos para la venta y otros usuarios pueden comprar. El producto debe tener asociado un “Tipo de Producto”. Sigue el mismo formato de los servicios y tipos de servicio. Los ingresa el usuario participante.</v>
      </c>
    </row>
    <row r="59" ht="15.75" customHeight="1">
      <c r="A59" s="49" t="s">
        <v>5</v>
      </c>
      <c r="B59" s="49" t="s">
        <v>71</v>
      </c>
      <c r="C59" s="46" t="s">
        <v>72</v>
      </c>
      <c r="D59" s="7"/>
      <c r="E59" s="7"/>
      <c r="F59" s="8"/>
      <c r="G59" s="46" t="s">
        <v>11</v>
      </c>
      <c r="H59" s="7"/>
      <c r="I59" s="7"/>
      <c r="J59" s="8"/>
      <c r="K59" s="49" t="s">
        <v>77</v>
      </c>
    </row>
    <row r="60" ht="15.75" customHeight="1">
      <c r="A60" s="48">
        <v>1.0</v>
      </c>
      <c r="B60" s="54" t="s">
        <v>148</v>
      </c>
      <c r="C60" s="87" t="s">
        <v>149</v>
      </c>
      <c r="D60" s="7"/>
      <c r="E60" s="7"/>
      <c r="F60" s="8"/>
      <c r="G60" s="76" t="str">
        <f>'TABLAS '!C12</f>
        <v>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v>
      </c>
      <c r="H60" s="22"/>
      <c r="I60" s="22"/>
      <c r="J60" s="23"/>
      <c r="K60" s="54" t="s">
        <v>101</v>
      </c>
    </row>
    <row r="61" ht="15.75" customHeight="1">
      <c r="A61" s="48">
        <v>2.0</v>
      </c>
      <c r="B61" s="54" t="s">
        <v>150</v>
      </c>
      <c r="C61" s="87" t="s">
        <v>151</v>
      </c>
      <c r="D61" s="7"/>
      <c r="E61" s="7"/>
      <c r="F61" s="8"/>
      <c r="G61" s="25"/>
      <c r="J61" s="26"/>
      <c r="K61" s="54" t="s">
        <v>104</v>
      </c>
    </row>
    <row r="62" ht="15.75" customHeight="1">
      <c r="A62" s="48">
        <v>3.0</v>
      </c>
      <c r="B62" s="54" t="s">
        <v>81</v>
      </c>
      <c r="C62" s="87" t="s">
        <v>152</v>
      </c>
      <c r="D62" s="7"/>
      <c r="E62" s="7"/>
      <c r="F62" s="8"/>
      <c r="G62" s="25"/>
      <c r="J62" s="26"/>
      <c r="K62" s="54" t="s">
        <v>104</v>
      </c>
    </row>
    <row r="63" ht="15.75" customHeight="1">
      <c r="A63" s="48">
        <v>4.0</v>
      </c>
      <c r="B63" s="54" t="s">
        <v>153</v>
      </c>
      <c r="C63" s="88" t="s">
        <v>154</v>
      </c>
      <c r="D63" s="28"/>
      <c r="E63" s="28"/>
      <c r="F63" s="29"/>
      <c r="G63" s="25"/>
      <c r="J63" s="26"/>
      <c r="K63" s="67"/>
    </row>
    <row r="64" ht="15.75" customHeight="1">
      <c r="A64" s="48">
        <v>5.0</v>
      </c>
      <c r="B64" s="54" t="s">
        <v>128</v>
      </c>
      <c r="C64" s="88" t="s">
        <v>155</v>
      </c>
      <c r="D64" s="28"/>
      <c r="E64" s="28"/>
      <c r="F64" s="29"/>
      <c r="G64" s="27"/>
      <c r="H64" s="28"/>
      <c r="I64" s="28"/>
      <c r="J64" s="29"/>
      <c r="K64" s="67"/>
    </row>
    <row r="65" ht="15.75" customHeight="1">
      <c r="A65" s="67"/>
      <c r="B65" s="67"/>
      <c r="C65" s="37"/>
      <c r="D65" s="7"/>
      <c r="E65" s="7"/>
      <c r="F65" s="8"/>
      <c r="G65" s="37"/>
      <c r="H65" s="7"/>
      <c r="I65" s="7"/>
      <c r="J65" s="8"/>
      <c r="K65" s="67"/>
    </row>
    <row r="66" ht="15.75" customHeight="1">
      <c r="A66" s="83">
        <v>9.0</v>
      </c>
      <c r="B66" s="41" t="s">
        <v>7</v>
      </c>
      <c r="C66" s="37" t="str">
        <f>'TABLAS '!B13</f>
        <v>producto</v>
      </c>
      <c r="D66" s="7"/>
      <c r="E66" s="7"/>
      <c r="F66" s="8"/>
      <c r="G66" s="46" t="s">
        <v>8</v>
      </c>
      <c r="H66" s="7"/>
      <c r="I66" s="7"/>
      <c r="J66" s="8"/>
      <c r="K66" s="52" t="str">
        <f>'TABLAS '!C12</f>
        <v>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v>
      </c>
    </row>
    <row r="67" ht="15.75" customHeight="1">
      <c r="A67" s="49" t="s">
        <v>5</v>
      </c>
      <c r="B67" s="49" t="s">
        <v>71</v>
      </c>
      <c r="C67" s="46" t="s">
        <v>72</v>
      </c>
      <c r="D67" s="7"/>
      <c r="E67" s="7"/>
      <c r="F67" s="8"/>
      <c r="G67" s="46" t="s">
        <v>11</v>
      </c>
      <c r="H67" s="7"/>
      <c r="I67" s="7"/>
      <c r="J67" s="8"/>
      <c r="K67" s="49" t="s">
        <v>77</v>
      </c>
    </row>
    <row r="68" ht="15.75" customHeight="1">
      <c r="A68" s="48">
        <v>1.0</v>
      </c>
      <c r="B68" s="89" t="s">
        <v>150</v>
      </c>
      <c r="C68" s="90" t="s">
        <v>151</v>
      </c>
      <c r="D68" s="7"/>
      <c r="E68" s="7"/>
      <c r="F68" s="8"/>
      <c r="G68" s="76" t="str">
        <f>'TABLAS '!C13</f>
        <v>Los usuarios pueden postear productos para la venta y otros usuarios pueden comprar. El producto debe tener asociado un “Tipo de Producto”. Sigue el mismo formato de los servicios y tipos de servicio. Los ingresa el usuario participante.</v>
      </c>
      <c r="H68" s="22"/>
      <c r="I68" s="22"/>
      <c r="J68" s="23"/>
      <c r="K68" s="54" t="s">
        <v>101</v>
      </c>
    </row>
    <row r="69" ht="15.75" customHeight="1">
      <c r="A69" s="48">
        <v>2.0</v>
      </c>
      <c r="B69" s="89" t="s">
        <v>122</v>
      </c>
      <c r="C69" s="90" t="s">
        <v>156</v>
      </c>
      <c r="D69" s="7"/>
      <c r="E69" s="7"/>
      <c r="F69" s="8"/>
      <c r="G69" s="27"/>
      <c r="H69" s="28"/>
      <c r="I69" s="28"/>
      <c r="J69" s="29"/>
      <c r="K69" s="54" t="s">
        <v>109</v>
      </c>
    </row>
    <row r="70" ht="15.75" customHeight="1">
      <c r="A70" s="67"/>
      <c r="B70" s="67"/>
      <c r="C70" s="37"/>
      <c r="D70" s="7"/>
      <c r="E70" s="7"/>
      <c r="F70" s="8"/>
      <c r="G70" s="37"/>
      <c r="H70" s="7"/>
      <c r="I70" s="7"/>
      <c r="J70" s="8"/>
      <c r="K70" s="67"/>
    </row>
    <row r="71" ht="15.75" customHeight="1">
      <c r="A71" s="83">
        <v>10.0</v>
      </c>
      <c r="B71" s="41" t="s">
        <v>7</v>
      </c>
      <c r="C71" s="37" t="str">
        <f>'TABLAS '!B14</f>
        <v>tipo_producto</v>
      </c>
      <c r="D71" s="7"/>
      <c r="E71" s="7"/>
      <c r="F71" s="8"/>
      <c r="G71" s="46" t="s">
        <v>8</v>
      </c>
      <c r="H71" s="7"/>
      <c r="I71" s="7"/>
      <c r="J71" s="8"/>
      <c r="K71" s="52" t="str">
        <f>'TABLAS '!C15</f>
        <v>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v>
      </c>
    </row>
    <row r="72" ht="15.75" customHeight="1">
      <c r="A72" s="49" t="s">
        <v>5</v>
      </c>
      <c r="B72" s="49" t="s">
        <v>71</v>
      </c>
      <c r="C72" s="46" t="s">
        <v>72</v>
      </c>
      <c r="D72" s="7"/>
      <c r="E72" s="7"/>
      <c r="F72" s="8"/>
      <c r="G72" s="46" t="s">
        <v>11</v>
      </c>
      <c r="H72" s="7"/>
      <c r="I72" s="7"/>
      <c r="J72" s="8"/>
      <c r="K72" s="49" t="s">
        <v>77</v>
      </c>
    </row>
    <row r="73" ht="15.75" customHeight="1">
      <c r="A73" s="48">
        <v>1.0</v>
      </c>
      <c r="B73" s="89" t="s">
        <v>157</v>
      </c>
      <c r="C73" s="64" t="s">
        <v>158</v>
      </c>
      <c r="D73" s="28"/>
      <c r="E73" s="28"/>
      <c r="F73" s="29"/>
      <c r="G73" s="76" t="str">
        <f>'TABLAS '!C14</f>
        <v>Libros, motocicleta, ropa, ticket para concierto, entre otros. Sirve para clasificación y estadística. Sirve para clasificación y estadística. Los ingresa el Usuario con Rol de Administrador. </v>
      </c>
      <c r="H73" s="22"/>
      <c r="I73" s="22"/>
      <c r="J73" s="23"/>
      <c r="K73" s="54" t="s">
        <v>101</v>
      </c>
    </row>
    <row r="74" ht="15.75" customHeight="1">
      <c r="A74" s="48">
        <v>2.0</v>
      </c>
      <c r="B74" s="89" t="s">
        <v>81</v>
      </c>
      <c r="C74" s="62" t="s">
        <v>159</v>
      </c>
      <c r="D74" s="28"/>
      <c r="E74" s="28"/>
      <c r="F74" s="29"/>
      <c r="G74" s="25"/>
      <c r="J74" s="26"/>
      <c r="K74" s="54" t="s">
        <v>104</v>
      </c>
    </row>
    <row r="75" ht="15.75" customHeight="1">
      <c r="A75" s="48">
        <v>3.0</v>
      </c>
      <c r="B75" s="91" t="s">
        <v>160</v>
      </c>
      <c r="C75" s="62" t="s">
        <v>161</v>
      </c>
      <c r="D75" s="28"/>
      <c r="E75" s="28"/>
      <c r="F75" s="29"/>
      <c r="G75" s="25"/>
      <c r="J75" s="26"/>
      <c r="K75" s="54" t="s">
        <v>104</v>
      </c>
    </row>
    <row r="76" ht="15.75" customHeight="1">
      <c r="A76" s="48">
        <v>4.0</v>
      </c>
      <c r="B76" s="89" t="s">
        <v>128</v>
      </c>
      <c r="C76" s="62" t="s">
        <v>162</v>
      </c>
      <c r="D76" s="28"/>
      <c r="E76" s="28"/>
      <c r="F76" s="29"/>
      <c r="G76" s="25"/>
      <c r="J76" s="26"/>
      <c r="K76" s="67"/>
    </row>
    <row r="77" ht="15.75" customHeight="1">
      <c r="A77" s="48">
        <v>5.0</v>
      </c>
      <c r="B77" s="89" t="s">
        <v>153</v>
      </c>
      <c r="C77" s="62" t="s">
        <v>163</v>
      </c>
      <c r="D77" s="28"/>
      <c r="E77" s="28"/>
      <c r="F77" s="29"/>
      <c r="G77" s="27"/>
      <c r="H77" s="28"/>
      <c r="I77" s="28"/>
      <c r="J77" s="29"/>
      <c r="K77" s="67"/>
    </row>
    <row r="78" ht="15.75" customHeight="1">
      <c r="A78" s="67"/>
      <c r="B78" s="67"/>
      <c r="C78" s="37"/>
      <c r="D78" s="7"/>
      <c r="E78" s="7"/>
      <c r="F78" s="8"/>
      <c r="G78" s="37"/>
      <c r="H78" s="7"/>
      <c r="I78" s="7"/>
      <c r="J78" s="8"/>
      <c r="K78" s="67"/>
    </row>
    <row r="79" ht="15.75" customHeight="1">
      <c r="A79" s="83">
        <v>11.0</v>
      </c>
      <c r="B79" s="41" t="s">
        <v>7</v>
      </c>
      <c r="C79" s="37" t="str">
        <f>'TABLAS '!B15</f>
        <v>evento</v>
      </c>
      <c r="D79" s="7"/>
      <c r="E79" s="7"/>
      <c r="F79" s="8"/>
      <c r="G79" s="46" t="s">
        <v>8</v>
      </c>
      <c r="H79" s="7"/>
      <c r="I79" s="7"/>
      <c r="J79" s="8"/>
      <c r="K79" s="52" t="str">
        <f>'TABLAS '!C14</f>
        <v>Libros, motocicleta, ropa, ticket para concierto, entre otros. Sirve para clasificación y estadística. Sirve para clasificación y estadística. Los ingresa el Usuario con Rol de Administrador. </v>
      </c>
    </row>
    <row r="80" ht="15.75" customHeight="1">
      <c r="A80" s="49" t="s">
        <v>5</v>
      </c>
      <c r="B80" s="49" t="s">
        <v>71</v>
      </c>
      <c r="C80" s="46" t="s">
        <v>72</v>
      </c>
      <c r="D80" s="7"/>
      <c r="E80" s="7"/>
      <c r="F80" s="8"/>
      <c r="G80" s="46" t="s">
        <v>11</v>
      </c>
      <c r="H80" s="7"/>
      <c r="I80" s="7"/>
      <c r="J80" s="8"/>
      <c r="K80" s="49" t="s">
        <v>77</v>
      </c>
    </row>
    <row r="81" ht="15.75" customHeight="1">
      <c r="A81" s="48">
        <v>1.0</v>
      </c>
      <c r="B81" s="89" t="s">
        <v>160</v>
      </c>
      <c r="C81" s="86" t="s">
        <v>161</v>
      </c>
      <c r="D81" s="7"/>
      <c r="E81" s="7"/>
      <c r="F81" s="8"/>
      <c r="G81" s="76" t="str">
        <f>'TABLAS '!C15</f>
        <v>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v>
      </c>
      <c r="H81" s="22"/>
      <c r="I81" s="22"/>
      <c r="J81" s="23"/>
      <c r="K81" s="54" t="s">
        <v>101</v>
      </c>
    </row>
    <row r="82" ht="15.75" customHeight="1">
      <c r="A82" s="48">
        <v>2.0</v>
      </c>
      <c r="B82" s="89" t="s">
        <v>122</v>
      </c>
      <c r="C82" s="93" t="s">
        <v>165</v>
      </c>
      <c r="D82" s="28"/>
      <c r="E82" s="28"/>
      <c r="F82" s="29"/>
      <c r="G82" s="27"/>
      <c r="H82" s="28"/>
      <c r="I82" s="28"/>
      <c r="J82" s="29"/>
      <c r="K82" s="54" t="s">
        <v>109</v>
      </c>
    </row>
    <row r="83" ht="15.75" customHeight="1">
      <c r="A83" s="52"/>
      <c r="B83" s="67"/>
      <c r="C83" s="37"/>
      <c r="D83" s="7"/>
      <c r="E83" s="7"/>
      <c r="F83" s="8"/>
      <c r="G83" s="37"/>
      <c r="H83" s="7"/>
      <c r="I83" s="7"/>
      <c r="J83" s="8"/>
      <c r="K83" s="67"/>
    </row>
    <row r="84" ht="15.75" customHeight="1">
      <c r="A84" s="83">
        <v>12.0</v>
      </c>
      <c r="B84" s="41" t="s">
        <v>7</v>
      </c>
      <c r="C84" s="37" t="str">
        <f>'TABLAS '!B16</f>
        <v>tipo_evento</v>
      </c>
      <c r="D84" s="7"/>
      <c r="E84" s="7"/>
      <c r="F84" s="8"/>
      <c r="G84" s="46" t="s">
        <v>8</v>
      </c>
      <c r="H84" s="7"/>
      <c r="I84" s="7"/>
      <c r="J84" s="8"/>
      <c r="K84" s="52" t="str">
        <f>'TABLAS '!C17</f>
        <v>Permite avisar a los usuarios sobre nuevas publicaciones, comentarios, eventos o servicios.</v>
      </c>
    </row>
    <row r="85" ht="15.75" customHeight="1">
      <c r="A85" s="49" t="s">
        <v>5</v>
      </c>
      <c r="B85" s="49" t="s">
        <v>71</v>
      </c>
      <c r="C85" s="46" t="s">
        <v>72</v>
      </c>
      <c r="D85" s="7"/>
      <c r="E85" s="7"/>
      <c r="F85" s="8"/>
      <c r="G85" s="46" t="s">
        <v>11</v>
      </c>
      <c r="H85" s="7"/>
      <c r="I85" s="7"/>
      <c r="J85" s="8"/>
      <c r="K85" s="49" t="s">
        <v>77</v>
      </c>
    </row>
    <row r="86" ht="15.75" customHeight="1">
      <c r="A86" s="48">
        <v>1.0</v>
      </c>
      <c r="B86" s="91" t="s">
        <v>167</v>
      </c>
      <c r="C86" s="62" t="s">
        <v>168</v>
      </c>
      <c r="D86" s="28"/>
      <c r="E86" s="28"/>
      <c r="F86" s="29"/>
      <c r="G86" s="76" t="str">
        <f>'TABLAS '!C16</f>
        <v>Al igual que los anteriores casos de servicio y productos, se cumple lo mismo. El usuario Administrador ingresa los tipos de evento. Sirve para clasificación y estadística. Los ingresa el Usuario con Rol de Administrador</v>
      </c>
      <c r="H86" s="22"/>
      <c r="I86" s="22"/>
      <c r="J86" s="23"/>
      <c r="K86" s="54" t="s">
        <v>101</v>
      </c>
    </row>
    <row r="87" ht="15.75" customHeight="1">
      <c r="A87" s="48">
        <v>2.0</v>
      </c>
      <c r="B87" s="89" t="s">
        <v>169</v>
      </c>
      <c r="C87" s="62" t="s">
        <v>170</v>
      </c>
      <c r="D87" s="28"/>
      <c r="E87" s="28"/>
      <c r="F87" s="29"/>
      <c r="G87" s="25"/>
      <c r="J87" s="26"/>
      <c r="K87" s="54" t="s">
        <v>104</v>
      </c>
    </row>
    <row r="88" ht="15.75" customHeight="1">
      <c r="A88" s="48">
        <v>3.0</v>
      </c>
      <c r="B88" s="89" t="s">
        <v>81</v>
      </c>
      <c r="C88" s="62" t="s">
        <v>171</v>
      </c>
      <c r="D88" s="28"/>
      <c r="E88" s="28"/>
      <c r="F88" s="29"/>
      <c r="G88" s="25"/>
      <c r="J88" s="26"/>
      <c r="K88" s="54" t="s">
        <v>104</v>
      </c>
    </row>
    <row r="89" ht="15.75" customHeight="1">
      <c r="A89" s="48">
        <v>4.0</v>
      </c>
      <c r="B89" s="91" t="s">
        <v>128</v>
      </c>
      <c r="C89" s="62" t="s">
        <v>172</v>
      </c>
      <c r="D89" s="28"/>
      <c r="E89" s="28"/>
      <c r="F89" s="29"/>
      <c r="G89" s="25"/>
      <c r="J89" s="26"/>
      <c r="K89" s="67"/>
    </row>
    <row r="90" ht="15.75" customHeight="1">
      <c r="A90" s="48">
        <v>5.0</v>
      </c>
      <c r="B90" s="91" t="s">
        <v>135</v>
      </c>
      <c r="C90" s="62" t="s">
        <v>173</v>
      </c>
      <c r="D90" s="28"/>
      <c r="E90" s="28"/>
      <c r="F90" s="29"/>
      <c r="G90" s="27"/>
      <c r="H90" s="28"/>
      <c r="I90" s="28"/>
      <c r="J90" s="29"/>
      <c r="K90" s="67"/>
    </row>
    <row r="91" ht="15.75" customHeight="1">
      <c r="A91" s="67"/>
      <c r="B91" s="67"/>
      <c r="C91" s="37"/>
      <c r="D91" s="7"/>
      <c r="E91" s="7"/>
      <c r="F91" s="8"/>
      <c r="G91" s="37"/>
      <c r="H91" s="7"/>
      <c r="I91" s="7"/>
      <c r="J91" s="8"/>
      <c r="K91" s="67"/>
    </row>
    <row r="92" ht="15.75" customHeight="1">
      <c r="A92" s="83">
        <v>13.0</v>
      </c>
      <c r="B92" s="41" t="s">
        <v>7</v>
      </c>
      <c r="C92" s="37" t="str">
        <f>'TABLAS '!B17</f>
        <v>notificacion</v>
      </c>
      <c r="D92" s="7"/>
      <c r="E92" s="7"/>
      <c r="F92" s="8"/>
      <c r="G92" s="46" t="s">
        <v>8</v>
      </c>
      <c r="H92" s="7"/>
      <c r="I92" s="7"/>
      <c r="J92" s="8"/>
      <c r="K92" s="52" t="str">
        <f>'TABLAS '!C16</f>
        <v>Al igual que los anteriores casos de servicio y productos, se cumple lo mismo. El usuario Administrador ingresa los tipos de evento. Sirve para clasificación y estadística. Los ingresa el Usuario con Rol de Administrador</v>
      </c>
    </row>
    <row r="93" ht="15.75" customHeight="1">
      <c r="A93" s="49" t="s">
        <v>5</v>
      </c>
      <c r="B93" s="49" t="s">
        <v>71</v>
      </c>
      <c r="C93" s="46" t="s">
        <v>72</v>
      </c>
      <c r="D93" s="7"/>
      <c r="E93" s="7"/>
      <c r="F93" s="8"/>
      <c r="G93" s="46" t="s">
        <v>11</v>
      </c>
      <c r="H93" s="7"/>
      <c r="I93" s="7"/>
      <c r="J93" s="8"/>
      <c r="K93" s="49" t="s">
        <v>77</v>
      </c>
    </row>
    <row r="94" ht="15.75" customHeight="1">
      <c r="A94" s="48">
        <v>1.0</v>
      </c>
      <c r="B94" s="89" t="s">
        <v>169</v>
      </c>
      <c r="C94" s="90" t="s">
        <v>170</v>
      </c>
      <c r="D94" s="7"/>
      <c r="E94" s="7"/>
      <c r="F94" s="8"/>
      <c r="G94" s="76" t="str">
        <f>'TABLAS '!C17</f>
        <v>Permite avisar a los usuarios sobre nuevas publicaciones, comentarios, eventos o servicios.</v>
      </c>
      <c r="H94" s="22"/>
      <c r="I94" s="22"/>
      <c r="J94" s="23"/>
      <c r="K94" s="54" t="s">
        <v>101</v>
      </c>
    </row>
    <row r="95" ht="15.75" customHeight="1">
      <c r="A95" s="48">
        <v>2.0</v>
      </c>
      <c r="B95" s="89" t="s">
        <v>122</v>
      </c>
      <c r="C95" s="90" t="s">
        <v>174</v>
      </c>
      <c r="D95" s="7"/>
      <c r="E95" s="7"/>
      <c r="F95" s="8"/>
      <c r="G95" s="27"/>
      <c r="H95" s="28"/>
      <c r="I95" s="28"/>
      <c r="J95" s="29"/>
      <c r="K95" s="54" t="s">
        <v>109</v>
      </c>
    </row>
    <row r="96" ht="15.75" customHeight="1">
      <c r="A96" s="52"/>
      <c r="B96" s="67"/>
      <c r="C96" s="37"/>
      <c r="D96" s="7"/>
      <c r="E96" s="7"/>
      <c r="F96" s="8"/>
      <c r="G96" s="37"/>
      <c r="H96" s="7"/>
      <c r="I96" s="7"/>
      <c r="J96" s="8"/>
      <c r="K96" s="67"/>
    </row>
    <row r="97" ht="15.75" customHeight="1">
      <c r="A97" s="83">
        <v>14.0</v>
      </c>
      <c r="B97" s="41" t="s">
        <v>7</v>
      </c>
      <c r="C97" s="37" t="str">
        <f>'TABLAS '!B18</f>
        <v>reaccion</v>
      </c>
      <c r="D97" s="7"/>
      <c r="E97" s="7"/>
      <c r="F97" s="8"/>
      <c r="G97" s="46" t="s">
        <v>8</v>
      </c>
      <c r="H97" s="7"/>
      <c r="I97" s="7"/>
      <c r="J97" s="8"/>
      <c r="K97" s="52" t="str">
        <f>'TABLAS '!C18</f>
        <v>Registra interacciones rápidas como “me gusta”, “me encanta”, “me sorprende” en publicaciones o comentarios.</v>
      </c>
    </row>
    <row r="98" ht="15.75" customHeight="1">
      <c r="A98" s="49" t="s">
        <v>5</v>
      </c>
      <c r="B98" s="49" t="s">
        <v>71</v>
      </c>
      <c r="C98" s="46" t="s">
        <v>72</v>
      </c>
      <c r="D98" s="7"/>
      <c r="E98" s="7"/>
      <c r="F98" s="8"/>
      <c r="G98" s="46" t="s">
        <v>11</v>
      </c>
      <c r="H98" s="7"/>
      <c r="I98" s="7"/>
      <c r="J98" s="8"/>
      <c r="K98" s="49" t="s">
        <v>77</v>
      </c>
    </row>
    <row r="99" ht="15.75" customHeight="1">
      <c r="A99" s="48">
        <v>1.0</v>
      </c>
      <c r="B99" s="91" t="s">
        <v>175</v>
      </c>
      <c r="C99" s="64" t="s">
        <v>176</v>
      </c>
      <c r="D99" s="28"/>
      <c r="E99" s="28"/>
      <c r="F99" s="29"/>
      <c r="G99" s="76" t="str">
        <f>'TABLAS '!C18</f>
        <v>Registra interacciones rápidas como “me gusta”, “me encanta”, “me sorprende” en publicaciones o comentarios.</v>
      </c>
      <c r="H99" s="22"/>
      <c r="I99" s="22"/>
      <c r="J99" s="23"/>
      <c r="K99" s="54" t="s">
        <v>101</v>
      </c>
    </row>
    <row r="100" ht="15.75" customHeight="1">
      <c r="A100" s="48">
        <v>2.0</v>
      </c>
      <c r="B100" s="89" t="s">
        <v>81</v>
      </c>
      <c r="C100" s="62" t="s">
        <v>177</v>
      </c>
      <c r="D100" s="28"/>
      <c r="E100" s="28"/>
      <c r="F100" s="29"/>
      <c r="G100" s="25"/>
      <c r="J100" s="26"/>
      <c r="K100" s="54" t="s">
        <v>104</v>
      </c>
    </row>
    <row r="101" ht="15.75" customHeight="1">
      <c r="A101" s="48">
        <v>3.0</v>
      </c>
      <c r="B101" s="89" t="s">
        <v>178</v>
      </c>
      <c r="C101" s="62" t="s">
        <v>179</v>
      </c>
      <c r="D101" s="28"/>
      <c r="E101" s="28"/>
      <c r="F101" s="29"/>
      <c r="G101" s="25"/>
      <c r="J101" s="26"/>
      <c r="K101" s="67"/>
    </row>
    <row r="102" ht="15.75" customHeight="1">
      <c r="A102" s="48">
        <v>4.0</v>
      </c>
      <c r="B102" s="89" t="s">
        <v>135</v>
      </c>
      <c r="C102" s="62" t="s">
        <v>180</v>
      </c>
      <c r="D102" s="28"/>
      <c r="E102" s="28"/>
      <c r="F102" s="29"/>
      <c r="G102" s="27"/>
      <c r="H102" s="28"/>
      <c r="I102" s="28"/>
      <c r="J102" s="29"/>
      <c r="K102" s="67"/>
    </row>
    <row r="103" ht="15.75" customHeight="1">
      <c r="A103" s="67"/>
      <c r="B103" s="67"/>
      <c r="C103" s="37"/>
      <c r="D103" s="7"/>
      <c r="E103" s="7"/>
      <c r="F103" s="8"/>
      <c r="G103" s="37"/>
      <c r="H103" s="7"/>
      <c r="I103" s="7"/>
      <c r="J103" s="8"/>
      <c r="K103" s="67"/>
    </row>
    <row r="104" ht="15.75" customHeight="1">
      <c r="A104" s="83">
        <v>15.0</v>
      </c>
      <c r="B104" s="41" t="s">
        <v>7</v>
      </c>
      <c r="C104" s="37" t="str">
        <f>'TABLAS '!B19</f>
        <v>mensaje_privado</v>
      </c>
      <c r="D104" s="7"/>
      <c r="E104" s="7"/>
      <c r="F104" s="8"/>
      <c r="G104" s="46" t="s">
        <v>8</v>
      </c>
      <c r="H104" s="7"/>
      <c r="I104" s="7"/>
      <c r="J104" s="8"/>
      <c r="K104" s="52" t="str">
        <f>'TABLAS '!C19</f>
        <v>Comunicación directa entre dos usuarios dentro de la red.</v>
      </c>
    </row>
    <row r="105" ht="15.75" customHeight="1">
      <c r="A105" s="49" t="s">
        <v>5</v>
      </c>
      <c r="B105" s="49" t="s">
        <v>71</v>
      </c>
      <c r="C105" s="46" t="s">
        <v>72</v>
      </c>
      <c r="D105" s="7"/>
      <c r="E105" s="7"/>
      <c r="F105" s="8"/>
      <c r="G105" s="46" t="s">
        <v>11</v>
      </c>
      <c r="H105" s="7"/>
      <c r="I105" s="7"/>
      <c r="J105" s="8"/>
      <c r="K105" s="49" t="s">
        <v>77</v>
      </c>
    </row>
    <row r="106" ht="15.75" customHeight="1">
      <c r="A106" s="48">
        <v>1.0</v>
      </c>
      <c r="B106" s="89" t="s">
        <v>181</v>
      </c>
      <c r="C106" s="90" t="s">
        <v>182</v>
      </c>
      <c r="D106" s="7"/>
      <c r="E106" s="7"/>
      <c r="F106" s="8"/>
      <c r="G106" s="102" t="str">
        <f>'TABLAS '!C19</f>
        <v>Comunicación directa entre dos usuarios dentro de la red.</v>
      </c>
      <c r="H106" s="22"/>
      <c r="I106" s="22"/>
      <c r="J106" s="23"/>
      <c r="K106" s="54" t="s">
        <v>101</v>
      </c>
    </row>
    <row r="107" ht="15.75" customHeight="1">
      <c r="A107" s="48">
        <v>2.0</v>
      </c>
      <c r="B107" s="89" t="s">
        <v>81</v>
      </c>
      <c r="C107" s="90" t="s">
        <v>183</v>
      </c>
      <c r="D107" s="7"/>
      <c r="E107" s="7"/>
      <c r="F107" s="8"/>
      <c r="G107" s="25"/>
      <c r="J107" s="26"/>
      <c r="K107" s="54" t="s">
        <v>104</v>
      </c>
    </row>
    <row r="108" ht="15.75" customHeight="1">
      <c r="A108" s="48">
        <v>3.0</v>
      </c>
      <c r="B108" s="89" t="s">
        <v>130</v>
      </c>
      <c r="C108" s="90" t="s">
        <v>184</v>
      </c>
      <c r="D108" s="7"/>
      <c r="E108" s="7"/>
      <c r="F108" s="8"/>
      <c r="G108" s="25"/>
      <c r="J108" s="26"/>
      <c r="K108" s="54" t="s">
        <v>104</v>
      </c>
    </row>
    <row r="109" ht="15.75" customHeight="1">
      <c r="A109" s="48">
        <v>4.0</v>
      </c>
      <c r="B109" s="89" t="s">
        <v>137</v>
      </c>
      <c r="C109" s="90" t="s">
        <v>185</v>
      </c>
      <c r="D109" s="7"/>
      <c r="E109" s="7"/>
      <c r="F109" s="8"/>
      <c r="G109" s="25"/>
      <c r="J109" s="26"/>
      <c r="K109" s="54" t="s">
        <v>104</v>
      </c>
    </row>
    <row r="110" ht="15.75" customHeight="1">
      <c r="A110" s="48">
        <v>5.0</v>
      </c>
      <c r="B110" s="103" t="s">
        <v>186</v>
      </c>
      <c r="C110" s="104" t="s">
        <v>187</v>
      </c>
      <c r="D110" s="7"/>
      <c r="E110" s="7"/>
      <c r="F110" s="8"/>
      <c r="G110" s="27"/>
      <c r="H110" s="28"/>
      <c r="I110" s="28"/>
      <c r="J110" s="29"/>
      <c r="K110" s="67"/>
    </row>
    <row r="111" ht="15.75" customHeight="1">
      <c r="A111" s="67"/>
      <c r="B111" s="67"/>
      <c r="C111" s="37"/>
      <c r="D111" s="7"/>
      <c r="E111" s="7"/>
      <c r="F111" s="8"/>
      <c r="G111" s="37"/>
      <c r="H111" s="7"/>
      <c r="I111" s="7"/>
      <c r="J111" s="8"/>
      <c r="K111" s="67"/>
    </row>
    <row r="112" ht="15.75" customHeight="1">
      <c r="A112" s="83">
        <v>16.0</v>
      </c>
      <c r="B112" s="41" t="s">
        <v>7</v>
      </c>
      <c r="C112" s="37" t="str">
        <f>'TABLAS '!B20</f>
        <v>amistad</v>
      </c>
      <c r="D112" s="7"/>
      <c r="E112" s="7"/>
      <c r="F112" s="8"/>
      <c r="G112" s="46" t="s">
        <v>8</v>
      </c>
      <c r="H112" s="7"/>
      <c r="I112" s="7"/>
      <c r="J112" s="8"/>
      <c r="K112" s="52" t="str">
        <f>'TABLAS '!C20</f>
        <v>Representa las conexiones entre usuarios (seguimiento o amistad).</v>
      </c>
    </row>
    <row r="113" ht="15.75" customHeight="1">
      <c r="A113" s="49" t="s">
        <v>5</v>
      </c>
      <c r="B113" s="49" t="s">
        <v>71</v>
      </c>
      <c r="C113" s="46" t="s">
        <v>72</v>
      </c>
      <c r="D113" s="7"/>
      <c r="E113" s="7"/>
      <c r="F113" s="8"/>
      <c r="G113" s="46" t="s">
        <v>11</v>
      </c>
      <c r="H113" s="7"/>
      <c r="I113" s="7"/>
      <c r="J113" s="8"/>
      <c r="K113" s="49" t="s">
        <v>77</v>
      </c>
    </row>
    <row r="114" ht="15.75" customHeight="1">
      <c r="A114" s="48">
        <v>1.0</v>
      </c>
      <c r="B114" s="54" t="s">
        <v>188</v>
      </c>
      <c r="C114" s="70" t="s">
        <v>189</v>
      </c>
      <c r="D114" s="7"/>
      <c r="E114" s="7"/>
      <c r="F114" s="8"/>
      <c r="G114" s="76" t="str">
        <f>'TABLAS '!C20</f>
        <v>Representa las conexiones entre usuarios (seguimiento o amistad).</v>
      </c>
      <c r="H114" s="22"/>
      <c r="I114" s="22"/>
      <c r="J114" s="23"/>
      <c r="K114" s="54" t="s">
        <v>101</v>
      </c>
    </row>
    <row r="115" ht="15.75" customHeight="1">
      <c r="A115" s="48">
        <v>2.0</v>
      </c>
      <c r="B115" s="54" t="s">
        <v>133</v>
      </c>
      <c r="C115" s="70" t="s">
        <v>190</v>
      </c>
      <c r="D115" s="7"/>
      <c r="E115" s="7"/>
      <c r="F115" s="8"/>
      <c r="G115" s="25"/>
      <c r="J115" s="26"/>
      <c r="K115" s="67"/>
    </row>
    <row r="116" ht="15.75" customHeight="1">
      <c r="A116" s="48">
        <v>3.0</v>
      </c>
      <c r="B116" s="54" t="s">
        <v>135</v>
      </c>
      <c r="C116" s="70" t="s">
        <v>191</v>
      </c>
      <c r="D116" s="7"/>
      <c r="E116" s="7"/>
      <c r="F116" s="8"/>
      <c r="G116" s="25"/>
      <c r="J116" s="26"/>
      <c r="K116" s="67"/>
    </row>
    <row r="117" ht="15.75" customHeight="1">
      <c r="A117" s="48">
        <v>4.0</v>
      </c>
      <c r="B117" s="54" t="s">
        <v>192</v>
      </c>
      <c r="C117" s="70" t="s">
        <v>193</v>
      </c>
      <c r="D117" s="7"/>
      <c r="E117" s="7"/>
      <c r="F117" s="8"/>
      <c r="G117" s="25"/>
      <c r="J117" s="26"/>
      <c r="K117" s="54" t="s">
        <v>104</v>
      </c>
    </row>
    <row r="118" ht="15.75" customHeight="1">
      <c r="A118" s="48">
        <v>5.0</v>
      </c>
      <c r="B118" s="54" t="s">
        <v>194</v>
      </c>
      <c r="C118" s="70" t="s">
        <v>195</v>
      </c>
      <c r="D118" s="7"/>
      <c r="E118" s="7"/>
      <c r="F118" s="8"/>
      <c r="G118" s="27"/>
      <c r="H118" s="28"/>
      <c r="I118" s="28"/>
      <c r="J118" s="29"/>
      <c r="K118" s="54" t="s">
        <v>104</v>
      </c>
    </row>
    <row r="119" ht="15.75" customHeight="1">
      <c r="A119" s="48"/>
      <c r="B119" s="105"/>
      <c r="C119" s="37"/>
      <c r="D119" s="7"/>
      <c r="E119" s="7"/>
      <c r="F119" s="8"/>
      <c r="G119" s="37"/>
      <c r="H119" s="7"/>
      <c r="I119" s="7"/>
      <c r="J119" s="8"/>
      <c r="K119" s="67"/>
    </row>
    <row r="120" ht="15.75" customHeight="1">
      <c r="A120" s="83">
        <v>17.0</v>
      </c>
      <c r="B120" s="41" t="s">
        <v>7</v>
      </c>
      <c r="C120" s="37" t="str">
        <f>'TABLAS '!B21</f>
        <v>historial_actividad</v>
      </c>
      <c r="D120" s="7"/>
      <c r="E120" s="7"/>
      <c r="F120" s="8"/>
      <c r="G120" s="46" t="s">
        <v>8</v>
      </c>
      <c r="H120" s="7"/>
      <c r="I120" s="7"/>
      <c r="J120" s="8"/>
      <c r="K120" s="52" t="str">
        <f>'TABLAS '!C21</f>
        <v>Guarda las acciones realizadas por cada usuario (publicar, comentar, unirse a grupo, etc.).</v>
      </c>
    </row>
    <row r="121" ht="15.75" customHeight="1">
      <c r="A121" s="49" t="s">
        <v>5</v>
      </c>
      <c r="B121" s="49" t="s">
        <v>71</v>
      </c>
      <c r="C121" s="46" t="s">
        <v>72</v>
      </c>
      <c r="D121" s="7"/>
      <c r="E121" s="7"/>
      <c r="F121" s="8"/>
      <c r="G121" s="46" t="s">
        <v>11</v>
      </c>
      <c r="H121" s="7"/>
      <c r="I121" s="7"/>
      <c r="J121" s="8"/>
      <c r="K121" s="49" t="s">
        <v>77</v>
      </c>
    </row>
    <row r="122" ht="15.75" customHeight="1">
      <c r="A122" s="48">
        <v>1.0</v>
      </c>
      <c r="B122" s="54" t="s">
        <v>196</v>
      </c>
      <c r="C122" s="70" t="s">
        <v>197</v>
      </c>
      <c r="D122" s="7"/>
      <c r="E122" s="7"/>
      <c r="F122" s="8"/>
      <c r="G122" s="76" t="str">
        <f>'TABLAS '!C21</f>
        <v>Guarda las acciones realizadas por cada usuario (publicar, comentar, unirse a grupo, etc.).</v>
      </c>
      <c r="H122" s="22"/>
      <c r="I122" s="22"/>
      <c r="J122" s="23"/>
      <c r="K122" s="54" t="s">
        <v>101</v>
      </c>
    </row>
    <row r="123" ht="15.75" customHeight="1">
      <c r="A123" s="48">
        <v>2.0</v>
      </c>
      <c r="B123" s="54" t="s">
        <v>198</v>
      </c>
      <c r="C123" s="70" t="s">
        <v>199</v>
      </c>
      <c r="D123" s="7"/>
      <c r="E123" s="7"/>
      <c r="F123" s="8"/>
      <c r="G123" s="25"/>
      <c r="J123" s="26"/>
      <c r="K123" s="67"/>
    </row>
    <row r="124" ht="15.75" customHeight="1">
      <c r="A124" s="48">
        <v>3.0</v>
      </c>
      <c r="B124" s="54" t="s">
        <v>200</v>
      </c>
      <c r="C124" s="70" t="s">
        <v>201</v>
      </c>
      <c r="D124" s="7"/>
      <c r="E124" s="7"/>
      <c r="F124" s="8"/>
      <c r="G124" s="25"/>
      <c r="J124" s="26"/>
      <c r="K124" s="54" t="s">
        <v>104</v>
      </c>
    </row>
    <row r="125" ht="15.75" customHeight="1">
      <c r="A125" s="48">
        <v>4.0</v>
      </c>
      <c r="B125" s="54" t="s">
        <v>202</v>
      </c>
      <c r="C125" s="70" t="s">
        <v>203</v>
      </c>
      <c r="D125" s="7"/>
      <c r="E125" s="7"/>
      <c r="F125" s="8"/>
      <c r="G125" s="25"/>
      <c r="J125" s="26"/>
      <c r="K125" s="54" t="s">
        <v>104</v>
      </c>
    </row>
    <row r="126" ht="15.75" customHeight="1">
      <c r="A126" s="54"/>
      <c r="B126" s="67"/>
      <c r="C126" s="37"/>
      <c r="D126" s="7"/>
      <c r="E126" s="7"/>
      <c r="F126" s="8"/>
      <c r="G126" s="106"/>
      <c r="H126" s="7"/>
      <c r="I126" s="7"/>
      <c r="J126" s="8"/>
      <c r="K126" s="67"/>
    </row>
    <row r="127" ht="15.75" customHeight="1">
      <c r="A127" s="83">
        <v>18.0</v>
      </c>
      <c r="B127" s="41" t="s">
        <v>7</v>
      </c>
      <c r="C127" s="37" t="str">
        <f>'TABLAS '!B22</f>
        <v>usuario_grupo</v>
      </c>
      <c r="D127" s="7"/>
      <c r="E127" s="7"/>
      <c r="F127" s="8"/>
      <c r="G127" s="46" t="s">
        <v>8</v>
      </c>
      <c r="H127" s="7"/>
      <c r="I127" s="7"/>
      <c r="J127" s="8"/>
      <c r="K127" s="52" t="str">
        <f>'TABLAS '!C22</f>
        <v>Un usuario pertenece a uno o varios grupos.</v>
      </c>
    </row>
    <row r="128" ht="15.75" customHeight="1">
      <c r="A128" s="49" t="s">
        <v>5</v>
      </c>
      <c r="B128" s="49" t="s">
        <v>71</v>
      </c>
      <c r="C128" s="46" t="s">
        <v>72</v>
      </c>
      <c r="D128" s="7"/>
      <c r="E128" s="7"/>
      <c r="F128" s="8"/>
      <c r="G128" s="46" t="s">
        <v>11</v>
      </c>
      <c r="H128" s="7"/>
      <c r="I128" s="7"/>
      <c r="J128" s="8"/>
      <c r="K128" s="49" t="s">
        <v>77</v>
      </c>
    </row>
    <row r="129" ht="15.75" customHeight="1">
      <c r="A129" s="48">
        <v>1.0</v>
      </c>
      <c r="B129" s="54" t="s">
        <v>204</v>
      </c>
      <c r="C129" s="64" t="s">
        <v>205</v>
      </c>
      <c r="D129" s="28"/>
      <c r="E129" s="28"/>
      <c r="F129" s="29"/>
      <c r="G129" s="76" t="str">
        <f>'TABLAS '!C22</f>
        <v>Un usuario pertenece a uno o varios grupos.</v>
      </c>
      <c r="H129" s="22"/>
      <c r="I129" s="22"/>
      <c r="J129" s="23"/>
      <c r="K129" s="54" t="s">
        <v>101</v>
      </c>
    </row>
    <row r="130" ht="15.75" customHeight="1">
      <c r="A130" s="48">
        <v>2.0</v>
      </c>
      <c r="B130" s="54" t="s">
        <v>206</v>
      </c>
      <c r="C130" s="64" t="s">
        <v>207</v>
      </c>
      <c r="D130" s="28"/>
      <c r="E130" s="28"/>
      <c r="F130" s="29"/>
      <c r="G130" s="25"/>
      <c r="J130" s="26"/>
      <c r="K130" s="67"/>
    </row>
    <row r="131" ht="15.75" customHeight="1">
      <c r="A131" s="48">
        <v>3.0</v>
      </c>
      <c r="B131" s="54" t="s">
        <v>135</v>
      </c>
      <c r="C131" s="64" t="s">
        <v>208</v>
      </c>
      <c r="D131" s="28"/>
      <c r="E131" s="28"/>
      <c r="F131" s="29"/>
      <c r="G131" s="25"/>
      <c r="J131" s="26"/>
      <c r="K131" s="67"/>
    </row>
    <row r="132" ht="15.75" customHeight="1">
      <c r="A132" s="48">
        <v>4.0</v>
      </c>
      <c r="B132" s="54" t="s">
        <v>81</v>
      </c>
      <c r="C132" s="64" t="s">
        <v>209</v>
      </c>
      <c r="D132" s="28"/>
      <c r="E132" s="28"/>
      <c r="F132" s="29"/>
      <c r="G132" s="25"/>
      <c r="J132" s="26"/>
      <c r="K132" s="54" t="s">
        <v>104</v>
      </c>
    </row>
    <row r="133" ht="15.75" customHeight="1">
      <c r="A133" s="48"/>
      <c r="B133" s="67"/>
      <c r="C133" s="37"/>
      <c r="D133" s="7"/>
      <c r="E133" s="7"/>
      <c r="F133" s="8"/>
      <c r="G133" s="27"/>
      <c r="H133" s="28"/>
      <c r="I133" s="28"/>
      <c r="J133" s="29"/>
      <c r="K133" s="67"/>
    </row>
    <row r="134" ht="15.75" customHeight="1">
      <c r="A134" s="83">
        <v>19.0</v>
      </c>
      <c r="B134" s="41" t="s">
        <v>7</v>
      </c>
      <c r="C134" s="37" t="str">
        <f>'TABLAS '!B23</f>
        <v>evento_usuarios</v>
      </c>
      <c r="D134" s="7"/>
      <c r="E134" s="7"/>
      <c r="F134" s="8"/>
      <c r="G134" s="46" t="s">
        <v>8</v>
      </c>
      <c r="H134" s="7"/>
      <c r="I134" s="7"/>
      <c r="J134" s="8"/>
      <c r="K134" s="52" t="str">
        <f>'TABLAS '!C23</f>
        <v>Un usuario participa en eventos organizados por otros.</v>
      </c>
    </row>
    <row r="135" ht="15.75" customHeight="1">
      <c r="A135" s="49" t="s">
        <v>5</v>
      </c>
      <c r="B135" s="49" t="s">
        <v>71</v>
      </c>
      <c r="C135" s="46" t="s">
        <v>72</v>
      </c>
      <c r="D135" s="7"/>
      <c r="E135" s="7"/>
      <c r="F135" s="8"/>
      <c r="G135" s="46" t="s">
        <v>11</v>
      </c>
      <c r="H135" s="7"/>
      <c r="I135" s="7"/>
      <c r="J135" s="8"/>
      <c r="K135" s="49" t="s">
        <v>77</v>
      </c>
    </row>
    <row r="136" ht="15.75" customHeight="1">
      <c r="A136" s="48">
        <v>1.0</v>
      </c>
      <c r="B136" s="54" t="s">
        <v>210</v>
      </c>
      <c r="C136" s="87" t="s">
        <v>211</v>
      </c>
      <c r="D136" s="7"/>
      <c r="E136" s="7"/>
      <c r="F136" s="8"/>
      <c r="G136" s="102" t="str">
        <f>'TABLAS '!C23</f>
        <v>Un usuario participa en eventos organizados por otros.</v>
      </c>
      <c r="H136" s="22"/>
      <c r="I136" s="22"/>
      <c r="J136" s="23"/>
      <c r="K136" s="54" t="s">
        <v>101</v>
      </c>
    </row>
    <row r="137" ht="15.75" customHeight="1">
      <c r="A137" s="48">
        <v>2.0</v>
      </c>
      <c r="B137" s="54" t="s">
        <v>81</v>
      </c>
      <c r="C137" s="87" t="s">
        <v>212</v>
      </c>
      <c r="D137" s="7"/>
      <c r="E137" s="7"/>
      <c r="F137" s="8"/>
      <c r="G137" s="25"/>
      <c r="J137" s="26"/>
      <c r="K137" s="54" t="s">
        <v>104</v>
      </c>
    </row>
    <row r="138" ht="15.75" customHeight="1">
      <c r="A138" s="48">
        <v>3.0</v>
      </c>
      <c r="B138" s="54" t="s">
        <v>143</v>
      </c>
      <c r="C138" s="87" t="s">
        <v>213</v>
      </c>
      <c r="D138" s="7"/>
      <c r="E138" s="7"/>
      <c r="F138" s="8"/>
      <c r="G138" s="25"/>
      <c r="J138" s="26"/>
      <c r="K138" s="54" t="s">
        <v>104</v>
      </c>
    </row>
    <row r="139" ht="15.75" customHeight="1">
      <c r="A139" s="48">
        <v>4.0</v>
      </c>
      <c r="B139" s="54" t="s">
        <v>214</v>
      </c>
      <c r="C139" s="86" t="s">
        <v>215</v>
      </c>
      <c r="D139" s="7"/>
      <c r="E139" s="7"/>
      <c r="F139" s="8"/>
      <c r="G139" s="25"/>
      <c r="J139" s="26"/>
      <c r="K139" s="67"/>
    </row>
    <row r="140" ht="15.75" customHeight="1">
      <c r="A140" s="48">
        <v>5.0</v>
      </c>
      <c r="B140" s="107" t="s">
        <v>216</v>
      </c>
      <c r="C140" s="108" t="s">
        <v>217</v>
      </c>
      <c r="D140" s="7"/>
      <c r="E140" s="7"/>
      <c r="F140" s="8"/>
      <c r="G140" s="27"/>
      <c r="H140" s="28"/>
      <c r="I140" s="28"/>
      <c r="J140" s="29"/>
      <c r="K140" s="54" t="s">
        <v>104</v>
      </c>
    </row>
    <row r="141" ht="15.75" customHeight="1">
      <c r="A141" s="67"/>
      <c r="B141" s="67"/>
      <c r="C141" s="37"/>
      <c r="D141" s="7"/>
      <c r="E141" s="7"/>
      <c r="F141" s="8"/>
      <c r="G141" s="37"/>
      <c r="H141" s="7"/>
      <c r="I141" s="7"/>
      <c r="J141" s="8"/>
      <c r="K141" s="67"/>
    </row>
    <row r="142" ht="15.75" customHeight="1">
      <c r="A142" s="83">
        <v>20.0</v>
      </c>
      <c r="B142" s="41" t="s">
        <v>7</v>
      </c>
      <c r="C142" s="37" t="str">
        <f>'TABLAS '!B24</f>
        <v>usuario_reaccion</v>
      </c>
      <c r="D142" s="7"/>
      <c r="E142" s="7"/>
      <c r="F142" s="8"/>
      <c r="G142" s="46" t="s">
        <v>8</v>
      </c>
      <c r="H142" s="7"/>
      <c r="I142" s="7"/>
      <c r="J142" s="8"/>
      <c r="K142" s="52" t="str">
        <f>'TABLAS '!C24</f>
        <v>Un usuario reacciona a publicaciones o comentarios.</v>
      </c>
    </row>
    <row r="143" ht="15.75" customHeight="1">
      <c r="A143" s="49" t="s">
        <v>5</v>
      </c>
      <c r="B143" s="49" t="s">
        <v>71</v>
      </c>
      <c r="C143" s="46" t="s">
        <v>72</v>
      </c>
      <c r="D143" s="7"/>
      <c r="E143" s="7"/>
      <c r="F143" s="8"/>
      <c r="G143" s="46" t="s">
        <v>11</v>
      </c>
      <c r="H143" s="7"/>
      <c r="I143" s="7"/>
      <c r="J143" s="8"/>
      <c r="K143" s="49" t="s">
        <v>77</v>
      </c>
    </row>
    <row r="144" ht="15.75" customHeight="1">
      <c r="A144" s="48">
        <v>1.0</v>
      </c>
      <c r="B144" s="54" t="s">
        <v>218</v>
      </c>
      <c r="C144" s="87" t="s">
        <v>211</v>
      </c>
      <c r="D144" s="7"/>
      <c r="E144" s="7"/>
      <c r="F144" s="8"/>
      <c r="G144" s="61" t="str">
        <f>'TABLAS '!C24</f>
        <v>Un usuario reacciona a publicaciones o comentarios.</v>
      </c>
      <c r="H144" s="22"/>
      <c r="I144" s="22"/>
      <c r="J144" s="23"/>
      <c r="K144" s="54" t="s">
        <v>101</v>
      </c>
    </row>
    <row r="145" ht="15.75" customHeight="1">
      <c r="A145" s="48">
        <v>2.0</v>
      </c>
      <c r="B145" s="54" t="s">
        <v>81</v>
      </c>
      <c r="C145" s="87" t="s">
        <v>219</v>
      </c>
      <c r="D145" s="7"/>
      <c r="E145" s="7"/>
      <c r="F145" s="8"/>
      <c r="G145" s="25"/>
      <c r="J145" s="26"/>
      <c r="K145" s="54" t="s">
        <v>104</v>
      </c>
    </row>
    <row r="146" ht="15.75" customHeight="1">
      <c r="A146" s="48">
        <v>3.0</v>
      </c>
      <c r="B146" s="54" t="s">
        <v>167</v>
      </c>
      <c r="C146" s="87" t="s">
        <v>220</v>
      </c>
      <c r="D146" s="7"/>
      <c r="E146" s="7"/>
      <c r="F146" s="8"/>
      <c r="G146" s="25"/>
      <c r="J146" s="26"/>
      <c r="K146" s="54" t="s">
        <v>104</v>
      </c>
    </row>
    <row r="147" ht="15.75" customHeight="1">
      <c r="A147" s="48">
        <v>4.0</v>
      </c>
      <c r="B147" s="54" t="s">
        <v>221</v>
      </c>
      <c r="C147" s="87" t="s">
        <v>222</v>
      </c>
      <c r="D147" s="7"/>
      <c r="E147" s="7"/>
      <c r="F147" s="8"/>
      <c r="G147" s="25"/>
      <c r="J147" s="26"/>
      <c r="K147" s="67"/>
    </row>
    <row r="148" ht="15.75" customHeight="1">
      <c r="A148" s="48">
        <v>5.0</v>
      </c>
      <c r="B148" s="54" t="s">
        <v>223</v>
      </c>
      <c r="C148" s="87" t="s">
        <v>224</v>
      </c>
      <c r="D148" s="7"/>
      <c r="E148" s="7"/>
      <c r="F148" s="8"/>
      <c r="G148" s="25"/>
      <c r="J148" s="26"/>
      <c r="K148" s="67"/>
    </row>
    <row r="149" ht="15.75" customHeight="1">
      <c r="A149" s="54">
        <v>6.0</v>
      </c>
      <c r="B149" s="54" t="s">
        <v>225</v>
      </c>
      <c r="C149" s="87" t="s">
        <v>226</v>
      </c>
      <c r="D149" s="7"/>
      <c r="E149" s="7"/>
      <c r="F149" s="8"/>
      <c r="G149" s="27"/>
      <c r="H149" s="28"/>
      <c r="I149" s="28"/>
      <c r="J149" s="29"/>
      <c r="K149" s="67"/>
    </row>
    <row r="150" ht="15.75" customHeight="1">
      <c r="A150" s="52"/>
      <c r="B150" s="67"/>
      <c r="C150" s="37"/>
      <c r="D150" s="7"/>
      <c r="E150" s="7"/>
      <c r="F150" s="8"/>
      <c r="G150" s="37"/>
      <c r="H150" s="7"/>
      <c r="I150" s="7"/>
      <c r="J150" s="8"/>
      <c r="K150" s="67"/>
    </row>
    <row r="151" ht="15.75" customHeight="1">
      <c r="A151" s="83">
        <v>21.0</v>
      </c>
      <c r="B151" s="41" t="s">
        <v>7</v>
      </c>
      <c r="C151" s="37" t="str">
        <f>'TABLAS '!B25</f>
        <v>usuario_amistad</v>
      </c>
      <c r="D151" s="7"/>
      <c r="E151" s="7"/>
      <c r="F151" s="8"/>
      <c r="G151" s="46" t="s">
        <v>8</v>
      </c>
      <c r="H151" s="7"/>
      <c r="I151" s="7"/>
      <c r="J151" s="8"/>
      <c r="K151" s="52" t="str">
        <f>'TABLAS '!C25</f>
        <v>Un usuario establece amistad con otro usuario.</v>
      </c>
    </row>
    <row r="152" ht="15.75" customHeight="1">
      <c r="A152" s="49" t="s">
        <v>5</v>
      </c>
      <c r="B152" s="49" t="s">
        <v>71</v>
      </c>
      <c r="C152" s="46" t="s">
        <v>72</v>
      </c>
      <c r="D152" s="7"/>
      <c r="E152" s="7"/>
      <c r="F152" s="8"/>
      <c r="G152" s="46" t="s">
        <v>11</v>
      </c>
      <c r="H152" s="7"/>
      <c r="I152" s="7"/>
      <c r="J152" s="8"/>
      <c r="K152" s="49" t="s">
        <v>77</v>
      </c>
    </row>
    <row r="153" ht="15.75" customHeight="1">
      <c r="A153" s="48">
        <v>1.0</v>
      </c>
      <c r="B153" s="54" t="s">
        <v>227</v>
      </c>
      <c r="C153" s="87" t="s">
        <v>211</v>
      </c>
      <c r="D153" s="7"/>
      <c r="E153" s="7"/>
      <c r="F153" s="8"/>
      <c r="G153" s="76" t="str">
        <f>'TABLAS '!C25</f>
        <v>Un usuario establece amistad con otro usuario.</v>
      </c>
      <c r="H153" s="22"/>
      <c r="I153" s="22"/>
      <c r="J153" s="23"/>
      <c r="K153" s="54" t="s">
        <v>101</v>
      </c>
    </row>
    <row r="154" ht="15.75" customHeight="1">
      <c r="A154" s="48">
        <v>2.0</v>
      </c>
      <c r="B154" s="54" t="s">
        <v>81</v>
      </c>
      <c r="C154" s="87" t="s">
        <v>228</v>
      </c>
      <c r="D154" s="7"/>
      <c r="E154" s="7"/>
      <c r="F154" s="8"/>
      <c r="G154" s="25"/>
      <c r="J154" s="26"/>
      <c r="K154" s="54" t="s">
        <v>104</v>
      </c>
    </row>
    <row r="155" ht="15.75" customHeight="1">
      <c r="A155" s="48">
        <v>3.0</v>
      </c>
      <c r="B155" s="54" t="s">
        <v>181</v>
      </c>
      <c r="C155" s="87" t="s">
        <v>229</v>
      </c>
      <c r="D155" s="7"/>
      <c r="E155" s="7"/>
      <c r="F155" s="8"/>
      <c r="G155" s="25"/>
      <c r="J155" s="26"/>
      <c r="K155" s="54" t="s">
        <v>104</v>
      </c>
    </row>
    <row r="156" ht="15.75" customHeight="1">
      <c r="A156" s="48">
        <v>4.0</v>
      </c>
      <c r="B156" s="54" t="s">
        <v>230</v>
      </c>
      <c r="C156" s="87" t="s">
        <v>231</v>
      </c>
      <c r="D156" s="7"/>
      <c r="E156" s="7"/>
      <c r="F156" s="8"/>
      <c r="G156" s="27"/>
      <c r="H156" s="28"/>
      <c r="I156" s="28"/>
      <c r="J156" s="29"/>
      <c r="K156" s="67"/>
    </row>
    <row r="157" ht="15.75" customHeight="1">
      <c r="A157" s="52"/>
      <c r="B157" s="67"/>
      <c r="C157" s="37"/>
      <c r="D157" s="7"/>
      <c r="E157" s="7"/>
      <c r="F157" s="8"/>
      <c r="G157" s="37"/>
      <c r="H157" s="7"/>
      <c r="I157" s="7"/>
      <c r="J157" s="8"/>
      <c r="K157" s="67"/>
    </row>
    <row r="158" ht="15.75" customHeight="1">
      <c r="A158" s="83">
        <v>22.0</v>
      </c>
      <c r="B158" s="41" t="s">
        <v>7</v>
      </c>
      <c r="C158" s="37" t="str">
        <f>'TABLAS '!B26</f>
        <v>perfil_publicacion</v>
      </c>
      <c r="D158" s="7"/>
      <c r="E158" s="7"/>
      <c r="F158" s="8"/>
      <c r="G158" s="46" t="s">
        <v>8</v>
      </c>
      <c r="H158" s="7"/>
      <c r="I158" s="7"/>
      <c r="J158" s="8"/>
      <c r="K158" s="52" t="str">
        <f>'TABLAS '!C26</f>
        <v>Un perfil contiene a una o varias publicaciones, y varios perfiles pueden contener la misma publicacion</v>
      </c>
    </row>
    <row r="159" ht="15.75" customHeight="1">
      <c r="A159" s="49" t="s">
        <v>5</v>
      </c>
      <c r="B159" s="49" t="s">
        <v>71</v>
      </c>
      <c r="C159" s="46" t="s">
        <v>72</v>
      </c>
      <c r="D159" s="7"/>
      <c r="E159" s="7"/>
      <c r="F159" s="8"/>
      <c r="G159" s="46" t="s">
        <v>11</v>
      </c>
      <c r="H159" s="7"/>
      <c r="I159" s="7"/>
      <c r="J159" s="8"/>
      <c r="K159" s="49" t="s">
        <v>77</v>
      </c>
    </row>
    <row r="160" ht="15.75" customHeight="1">
      <c r="A160" s="48">
        <v>1.0</v>
      </c>
      <c r="B160" s="54" t="s">
        <v>232</v>
      </c>
      <c r="C160" s="87" t="s">
        <v>233</v>
      </c>
      <c r="D160" s="7"/>
      <c r="E160" s="7"/>
      <c r="F160" s="8"/>
      <c r="G160" s="76" t="str">
        <f>'TABLAS '!C26</f>
        <v>Un perfil contiene a una o varias publicaciones, y varios perfiles pueden contener la misma publicacion</v>
      </c>
      <c r="H160" s="22"/>
      <c r="I160" s="22"/>
      <c r="J160" s="23"/>
      <c r="K160" s="54" t="s">
        <v>101</v>
      </c>
    </row>
    <row r="161" ht="15.75" customHeight="1">
      <c r="A161" s="48">
        <v>2.0</v>
      </c>
      <c r="B161" s="54" t="s">
        <v>200</v>
      </c>
      <c r="C161" s="87" t="s">
        <v>234</v>
      </c>
      <c r="D161" s="7"/>
      <c r="E161" s="7"/>
      <c r="F161" s="8"/>
      <c r="G161" s="25"/>
      <c r="J161" s="26"/>
      <c r="K161" s="54" t="s">
        <v>104</v>
      </c>
    </row>
    <row r="162" ht="15.75" customHeight="1">
      <c r="A162" s="48">
        <v>3.0</v>
      </c>
      <c r="B162" s="54" t="s">
        <v>202</v>
      </c>
      <c r="C162" s="87" t="s">
        <v>235</v>
      </c>
      <c r="D162" s="7"/>
      <c r="E162" s="7"/>
      <c r="F162" s="8"/>
      <c r="G162" s="25"/>
      <c r="J162" s="26"/>
      <c r="K162" s="54" t="s">
        <v>104</v>
      </c>
    </row>
    <row r="163" ht="15.75" customHeight="1">
      <c r="A163" s="48">
        <v>4.0</v>
      </c>
      <c r="B163" s="54" t="s">
        <v>236</v>
      </c>
      <c r="C163" s="70" t="s">
        <v>237</v>
      </c>
      <c r="D163" s="7"/>
      <c r="E163" s="7"/>
      <c r="F163" s="8"/>
      <c r="G163" s="25"/>
      <c r="J163" s="26"/>
      <c r="K163" s="67"/>
    </row>
    <row r="164" ht="15.75" customHeight="1">
      <c r="A164" s="48">
        <v>5.0</v>
      </c>
      <c r="B164" s="54" t="s">
        <v>198</v>
      </c>
      <c r="C164" s="70" t="s">
        <v>238</v>
      </c>
      <c r="D164" s="7"/>
      <c r="E164" s="7"/>
      <c r="F164" s="8"/>
      <c r="G164" s="27"/>
      <c r="H164" s="28"/>
      <c r="I164" s="28"/>
      <c r="J164" s="29"/>
      <c r="K164" s="67"/>
    </row>
    <row r="165" ht="15.75" customHeight="1">
      <c r="A165" s="67"/>
      <c r="B165" s="67"/>
      <c r="C165" s="37"/>
      <c r="D165" s="7"/>
      <c r="E165" s="7"/>
      <c r="F165" s="8"/>
      <c r="G165" s="37"/>
      <c r="H165" s="7"/>
      <c r="I165" s="7"/>
      <c r="J165" s="8"/>
      <c r="K165" s="67"/>
    </row>
    <row r="166" ht="15.75" customHeight="1">
      <c r="A166" s="83">
        <v>23.0</v>
      </c>
      <c r="B166" s="41" t="s">
        <v>7</v>
      </c>
      <c r="C166" s="37" t="str">
        <f>'TABLAS '!B27</f>
        <v/>
      </c>
      <c r="D166" s="7"/>
      <c r="E166" s="7"/>
      <c r="F166" s="8"/>
      <c r="G166" s="46" t="s">
        <v>8</v>
      </c>
      <c r="H166" s="7"/>
      <c r="I166" s="7"/>
      <c r="J166" s="8"/>
      <c r="K166" s="52" t="str">
        <f>'TABLAS '!C27</f>
        <v/>
      </c>
    </row>
    <row r="167" ht="15.75" customHeight="1">
      <c r="A167" s="49" t="s">
        <v>5</v>
      </c>
      <c r="B167" s="49" t="s">
        <v>71</v>
      </c>
      <c r="C167" s="46" t="s">
        <v>72</v>
      </c>
      <c r="D167" s="7"/>
      <c r="E167" s="7"/>
      <c r="F167" s="8"/>
      <c r="G167" s="46" t="s">
        <v>11</v>
      </c>
      <c r="H167" s="7"/>
      <c r="I167" s="7"/>
      <c r="J167" s="8"/>
      <c r="K167" s="49" t="s">
        <v>77</v>
      </c>
    </row>
    <row r="168" ht="15.75" customHeight="1">
      <c r="A168" s="48">
        <v>1.0</v>
      </c>
      <c r="B168" s="54" t="s">
        <v>240</v>
      </c>
      <c r="C168" s="87" t="s">
        <v>211</v>
      </c>
      <c r="D168" s="7"/>
      <c r="E168" s="7"/>
      <c r="F168" s="8"/>
      <c r="G168" s="76" t="str">
        <f>'TABLAS '!C27</f>
        <v/>
      </c>
      <c r="H168" s="22"/>
      <c r="I168" s="22"/>
      <c r="J168" s="23"/>
      <c r="K168" s="54" t="s">
        <v>101</v>
      </c>
    </row>
    <row r="169" ht="15.75" customHeight="1">
      <c r="A169" s="48">
        <v>2.0</v>
      </c>
      <c r="B169" s="54" t="s">
        <v>124</v>
      </c>
      <c r="C169" s="87" t="s">
        <v>241</v>
      </c>
      <c r="D169" s="7"/>
      <c r="E169" s="7"/>
      <c r="F169" s="8"/>
      <c r="G169" s="25"/>
      <c r="J169" s="26"/>
      <c r="K169" s="54" t="s">
        <v>104</v>
      </c>
    </row>
    <row r="170" ht="15.75" customHeight="1">
      <c r="A170" s="48">
        <v>3.0</v>
      </c>
      <c r="B170" s="54" t="s">
        <v>130</v>
      </c>
      <c r="C170" s="87" t="s">
        <v>242</v>
      </c>
      <c r="D170" s="7"/>
      <c r="E170" s="7"/>
      <c r="F170" s="8"/>
      <c r="G170" s="25"/>
      <c r="J170" s="26"/>
      <c r="K170" s="54" t="s">
        <v>104</v>
      </c>
    </row>
    <row r="171" ht="15.75" customHeight="1">
      <c r="A171" s="48">
        <v>4.0</v>
      </c>
      <c r="B171" s="54" t="s">
        <v>243</v>
      </c>
      <c r="C171" s="87" t="s">
        <v>244</v>
      </c>
      <c r="D171" s="7"/>
      <c r="E171" s="7"/>
      <c r="F171" s="8"/>
      <c r="G171" s="27"/>
      <c r="H171" s="28"/>
      <c r="I171" s="28"/>
      <c r="J171" s="29"/>
      <c r="K171" s="67"/>
    </row>
    <row r="172" ht="15.75" customHeight="1"/>
    <row r="173" ht="15.75" customHeight="1">
      <c r="A173" s="83">
        <v>24.0</v>
      </c>
      <c r="B173" s="41" t="s">
        <v>7</v>
      </c>
      <c r="C173" s="37"/>
      <c r="D173" s="7"/>
      <c r="E173" s="7"/>
      <c r="F173" s="8"/>
      <c r="G173" s="46" t="s">
        <v>8</v>
      </c>
      <c r="H173" s="7"/>
      <c r="I173" s="7"/>
      <c r="J173" s="8"/>
      <c r="K173" s="52" t="str">
        <f>'TABLAS '!C119</f>
        <v/>
      </c>
    </row>
    <row r="174" ht="15.75" customHeight="1">
      <c r="A174" s="49" t="s">
        <v>5</v>
      </c>
      <c r="B174" s="49" t="s">
        <v>71</v>
      </c>
      <c r="C174" s="46" t="s">
        <v>72</v>
      </c>
      <c r="D174" s="7"/>
      <c r="E174" s="7"/>
      <c r="F174" s="8"/>
      <c r="G174" s="46" t="s">
        <v>11</v>
      </c>
      <c r="H174" s="7"/>
      <c r="I174" s="7"/>
      <c r="J174" s="8"/>
      <c r="K174" s="49" t="s">
        <v>77</v>
      </c>
    </row>
    <row r="175" ht="15.75" customHeight="1">
      <c r="A175" s="48">
        <v>1.0</v>
      </c>
      <c r="B175" s="89" t="s">
        <v>248</v>
      </c>
      <c r="C175" s="90" t="s">
        <v>249</v>
      </c>
      <c r="D175" s="7"/>
      <c r="E175" s="7"/>
      <c r="F175" s="8"/>
      <c r="G175" s="76" t="str">
        <f>'TABLAS '!C120</f>
        <v/>
      </c>
      <c r="H175" s="22"/>
      <c r="I175" s="22"/>
      <c r="J175" s="23"/>
      <c r="K175" s="54" t="s">
        <v>101</v>
      </c>
    </row>
    <row r="176" ht="15.75" customHeight="1">
      <c r="A176" s="48">
        <v>2.0</v>
      </c>
      <c r="B176" s="89" t="s">
        <v>122</v>
      </c>
      <c r="C176" s="90" t="s">
        <v>252</v>
      </c>
      <c r="D176" s="7"/>
      <c r="E176" s="7"/>
      <c r="F176" s="8"/>
      <c r="G176" s="27"/>
      <c r="H176" s="28"/>
      <c r="I176" s="28"/>
      <c r="J176" s="29"/>
      <c r="K176" s="54" t="s">
        <v>109</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mergeCells count="260">
    <mergeCell ref="G151:J151"/>
    <mergeCell ref="G152:J152"/>
    <mergeCell ref="G153:J156"/>
    <mergeCell ref="G135:J135"/>
    <mergeCell ref="G136:J140"/>
    <mergeCell ref="G141:J141"/>
    <mergeCell ref="G142:J142"/>
    <mergeCell ref="G143:J143"/>
    <mergeCell ref="G144:J149"/>
    <mergeCell ref="G150:J150"/>
    <mergeCell ref="C159:F159"/>
    <mergeCell ref="C160:F160"/>
    <mergeCell ref="C158:F158"/>
    <mergeCell ref="C161:F161"/>
    <mergeCell ref="C162:F162"/>
    <mergeCell ref="C163:F163"/>
    <mergeCell ref="G165:J165"/>
    <mergeCell ref="G166:J166"/>
    <mergeCell ref="G167:J167"/>
    <mergeCell ref="G168:J171"/>
    <mergeCell ref="G173:J173"/>
    <mergeCell ref="G174:J174"/>
    <mergeCell ref="G175:J176"/>
    <mergeCell ref="C155:F155"/>
    <mergeCell ref="C156:F156"/>
    <mergeCell ref="C157:F157"/>
    <mergeCell ref="G157:J157"/>
    <mergeCell ref="G158:J158"/>
    <mergeCell ref="G159:J159"/>
    <mergeCell ref="G160:J164"/>
    <mergeCell ref="C171:F171"/>
    <mergeCell ref="C173:F173"/>
    <mergeCell ref="C174:F174"/>
    <mergeCell ref="C175:F175"/>
    <mergeCell ref="C176:F176"/>
    <mergeCell ref="C164:F164"/>
    <mergeCell ref="C165:F165"/>
    <mergeCell ref="C166:F166"/>
    <mergeCell ref="C167:F167"/>
    <mergeCell ref="C168:F168"/>
    <mergeCell ref="C169:F169"/>
    <mergeCell ref="C170:F170"/>
    <mergeCell ref="C115:F115"/>
    <mergeCell ref="C116:F116"/>
    <mergeCell ref="C117:F117"/>
    <mergeCell ref="C118:F118"/>
    <mergeCell ref="C119:F119"/>
    <mergeCell ref="G119:J119"/>
    <mergeCell ref="G120:J120"/>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G121:J121"/>
    <mergeCell ref="G122:J125"/>
    <mergeCell ref="G126:J126"/>
    <mergeCell ref="G127:J127"/>
    <mergeCell ref="G128:J128"/>
    <mergeCell ref="G129:J133"/>
    <mergeCell ref="G134:J134"/>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G33:J35"/>
    <mergeCell ref="G36:J36"/>
    <mergeCell ref="C29:F29"/>
    <mergeCell ref="A30:K30"/>
    <mergeCell ref="C31:F31"/>
    <mergeCell ref="G31:J31"/>
    <mergeCell ref="C32:F32"/>
    <mergeCell ref="G32:J32"/>
    <mergeCell ref="C35:F35"/>
    <mergeCell ref="A1:K1"/>
    <mergeCell ref="B2:K2"/>
    <mergeCell ref="B3:K6"/>
    <mergeCell ref="A7:K7"/>
    <mergeCell ref="C9:F9"/>
    <mergeCell ref="G9:J9"/>
    <mergeCell ref="G10:J10"/>
    <mergeCell ref="C16:F16"/>
    <mergeCell ref="C17:F17"/>
    <mergeCell ref="C10:F10"/>
    <mergeCell ref="C11:F11"/>
    <mergeCell ref="G11:J11"/>
    <mergeCell ref="G12:J19"/>
    <mergeCell ref="C13:F13"/>
    <mergeCell ref="C14:F14"/>
    <mergeCell ref="C15:F15"/>
    <mergeCell ref="C18:F18"/>
    <mergeCell ref="C19:F19"/>
    <mergeCell ref="A20:K20"/>
    <mergeCell ref="C21:F21"/>
    <mergeCell ref="G21:J21"/>
    <mergeCell ref="C22:F22"/>
    <mergeCell ref="G22:J22"/>
    <mergeCell ref="G27:J27"/>
    <mergeCell ref="G28:J29"/>
    <mergeCell ref="G23:J24"/>
    <mergeCell ref="C24:F24"/>
    <mergeCell ref="A25:K25"/>
    <mergeCell ref="C26:F26"/>
    <mergeCell ref="G26:J26"/>
    <mergeCell ref="C27:F27"/>
    <mergeCell ref="C28:F28"/>
    <mergeCell ref="C40:F40"/>
    <mergeCell ref="C41:F41"/>
    <mergeCell ref="C71:F71"/>
    <mergeCell ref="C72:F72"/>
    <mergeCell ref="C73:F73"/>
    <mergeCell ref="C64:F64"/>
    <mergeCell ref="C65:F65"/>
    <mergeCell ref="C66:F66"/>
    <mergeCell ref="C67:F67"/>
    <mergeCell ref="C68:F68"/>
    <mergeCell ref="C69:F69"/>
    <mergeCell ref="C70:F70"/>
    <mergeCell ref="C33:F33"/>
    <mergeCell ref="C34:F34"/>
    <mergeCell ref="C36:F36"/>
    <mergeCell ref="C37:F37"/>
    <mergeCell ref="G37:J37"/>
    <mergeCell ref="C38:F38"/>
    <mergeCell ref="C39:F39"/>
    <mergeCell ref="G38:J38"/>
    <mergeCell ref="G39:J42"/>
    <mergeCell ref="C42:F42"/>
    <mergeCell ref="C43:F43"/>
    <mergeCell ref="G43:J43"/>
    <mergeCell ref="C44:F44"/>
    <mergeCell ref="G44:J44"/>
    <mergeCell ref="C45:F45"/>
    <mergeCell ref="G45:J45"/>
    <mergeCell ref="C46:F46"/>
    <mergeCell ref="G46:J50"/>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G51:J51"/>
    <mergeCell ref="G52:J52"/>
    <mergeCell ref="G53:J53"/>
    <mergeCell ref="G54:J56"/>
    <mergeCell ref="G57:J57"/>
    <mergeCell ref="G58:J58"/>
    <mergeCell ref="G59:J59"/>
    <mergeCell ref="G60:J64"/>
    <mergeCell ref="G65:J65"/>
    <mergeCell ref="G66:J66"/>
    <mergeCell ref="G67:J67"/>
    <mergeCell ref="G68:J69"/>
    <mergeCell ref="G70:J70"/>
    <mergeCell ref="G71:J71"/>
    <mergeCell ref="C106:F106"/>
    <mergeCell ref="C107:F107"/>
    <mergeCell ref="C99:F99"/>
    <mergeCell ref="C100:F100"/>
    <mergeCell ref="C101:F101"/>
    <mergeCell ref="C102:F102"/>
    <mergeCell ref="C103:F103"/>
    <mergeCell ref="C104:F104"/>
    <mergeCell ref="C105:F105"/>
    <mergeCell ref="G113:J113"/>
    <mergeCell ref="G114:J118"/>
    <mergeCell ref="G99:J102"/>
    <mergeCell ref="G103:J103"/>
    <mergeCell ref="G104:J104"/>
    <mergeCell ref="G105:J105"/>
    <mergeCell ref="G106:J110"/>
    <mergeCell ref="G111:J111"/>
    <mergeCell ref="G112:J112"/>
    <mergeCell ref="G72:J72"/>
    <mergeCell ref="G73:J77"/>
    <mergeCell ref="C74:F74"/>
    <mergeCell ref="C75:F75"/>
    <mergeCell ref="C76:F76"/>
    <mergeCell ref="C77:F77"/>
    <mergeCell ref="G78:J78"/>
    <mergeCell ref="C78:F78"/>
    <mergeCell ref="C79:F79"/>
    <mergeCell ref="C80:F80"/>
    <mergeCell ref="C81:F81"/>
    <mergeCell ref="C82:F82"/>
    <mergeCell ref="C83:F83"/>
    <mergeCell ref="C84:F84"/>
    <mergeCell ref="G79:J79"/>
    <mergeCell ref="G80:J80"/>
    <mergeCell ref="G81:J82"/>
    <mergeCell ref="G83:J83"/>
    <mergeCell ref="G84:J84"/>
    <mergeCell ref="G85:J85"/>
    <mergeCell ref="G86:J90"/>
    <mergeCell ref="C85:F85"/>
    <mergeCell ref="C86:F86"/>
    <mergeCell ref="C87:F87"/>
    <mergeCell ref="C88:F88"/>
    <mergeCell ref="C89:F89"/>
    <mergeCell ref="C90:F90"/>
    <mergeCell ref="C91:F91"/>
    <mergeCell ref="G91:J91"/>
    <mergeCell ref="G92:J92"/>
    <mergeCell ref="G93:J93"/>
    <mergeCell ref="G94:J95"/>
    <mergeCell ref="G96:J96"/>
    <mergeCell ref="G97:J97"/>
    <mergeCell ref="G98:J98"/>
    <mergeCell ref="C92:F92"/>
    <mergeCell ref="C93:F93"/>
    <mergeCell ref="C94:F94"/>
    <mergeCell ref="C95:F95"/>
    <mergeCell ref="C96:F96"/>
    <mergeCell ref="C97:F97"/>
    <mergeCell ref="C98:F98"/>
    <mergeCell ref="C108:F108"/>
    <mergeCell ref="C109:F109"/>
    <mergeCell ref="C110:F110"/>
    <mergeCell ref="C111:F111"/>
    <mergeCell ref="C112:F112"/>
    <mergeCell ref="C113:F113"/>
    <mergeCell ref="C114:F11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63"/>
    <col customWidth="1" min="2" max="2" width="32.88"/>
    <col customWidth="1" min="3" max="3" width="8.38"/>
    <col customWidth="1" min="4" max="9" width="3.88"/>
    <col customWidth="1" min="10" max="10" width="5.25"/>
    <col customWidth="1" min="11" max="23" width="3.88"/>
    <col customWidth="1" min="24" max="24" width="17.0"/>
    <col customWidth="1" min="25" max="25" width="30.38"/>
  </cols>
  <sheetData>
    <row r="1" ht="25.5" customHeight="1">
      <c r="A1" s="92" t="s">
        <v>164</v>
      </c>
      <c r="B1" s="4"/>
      <c r="C1" s="4"/>
      <c r="D1" s="4"/>
      <c r="E1" s="4"/>
      <c r="F1" s="4"/>
      <c r="G1" s="4"/>
      <c r="H1" s="4"/>
      <c r="I1" s="4"/>
      <c r="J1" s="4"/>
      <c r="K1" s="4"/>
      <c r="L1" s="4"/>
      <c r="M1" s="4"/>
      <c r="N1" s="4"/>
      <c r="O1" s="4"/>
      <c r="P1" s="4"/>
      <c r="Q1" s="4"/>
      <c r="R1" s="4"/>
      <c r="S1" s="4"/>
      <c r="T1" s="4"/>
      <c r="U1" s="4"/>
      <c r="V1" s="4"/>
      <c r="W1" s="4"/>
      <c r="X1" s="4"/>
      <c r="Y1" s="6"/>
    </row>
    <row r="2" ht="30.75" customHeight="1">
      <c r="A2" s="92" t="s">
        <v>166</v>
      </c>
      <c r="B2" s="4"/>
      <c r="C2" s="4"/>
      <c r="D2" s="4"/>
      <c r="E2" s="4"/>
      <c r="F2" s="4"/>
      <c r="G2" s="4"/>
      <c r="H2" s="4"/>
      <c r="I2" s="4"/>
      <c r="J2" s="4"/>
      <c r="K2" s="4"/>
      <c r="L2" s="4"/>
      <c r="M2" s="4"/>
      <c r="N2" s="4"/>
      <c r="O2" s="4"/>
      <c r="P2" s="4"/>
      <c r="Q2" s="4"/>
      <c r="R2" s="4"/>
      <c r="S2" s="4"/>
      <c r="T2" s="4"/>
      <c r="U2" s="4"/>
      <c r="V2" s="4"/>
      <c r="W2" s="4"/>
      <c r="X2" s="4"/>
      <c r="Y2" s="6"/>
    </row>
    <row r="3" ht="33.75" customHeight="1">
      <c r="A3" s="94" t="s">
        <v>5</v>
      </c>
      <c r="B3" s="95" t="s">
        <v>7</v>
      </c>
      <c r="C3" s="96"/>
      <c r="D3" s="96"/>
      <c r="E3" s="97"/>
      <c r="F3" s="95" t="s">
        <v>8</v>
      </c>
      <c r="G3" s="96"/>
      <c r="H3" s="96"/>
      <c r="I3" s="96"/>
      <c r="J3" s="96"/>
      <c r="K3" s="96"/>
      <c r="L3" s="96"/>
      <c r="M3" s="96"/>
      <c r="N3" s="96"/>
      <c r="O3" s="96"/>
      <c r="P3" s="96"/>
      <c r="Q3" s="96"/>
      <c r="R3" s="96"/>
      <c r="S3" s="96"/>
      <c r="T3" s="96"/>
      <c r="U3" s="96"/>
      <c r="V3" s="96"/>
      <c r="W3" s="97"/>
      <c r="X3" s="95" t="s">
        <v>11</v>
      </c>
      <c r="Y3" s="98"/>
    </row>
    <row r="4" ht="30.0" customHeight="1">
      <c r="A4" s="99">
        <v>1.0</v>
      </c>
      <c r="B4" s="100" t="str">
        <f>'2FN'!C9</f>
        <v>usuario </v>
      </c>
      <c r="C4" s="96"/>
      <c r="D4" s="96"/>
      <c r="E4" s="98"/>
      <c r="F4" s="101" t="str">
        <f>'2FN'!K9</f>
        <v>Se refiere a los usuarios del sistema de información de la Red Pascualina. Un usuario debe tener asociado un tipo de usuario. NOTA IMPORTANTE: además de tener un tipo de usuario, debe tener un rol dentro de la Red.</v>
      </c>
      <c r="G4" s="96"/>
      <c r="H4" s="96"/>
      <c r="I4" s="96"/>
      <c r="J4" s="96"/>
      <c r="K4" s="96"/>
      <c r="L4" s="96"/>
      <c r="M4" s="96"/>
      <c r="N4" s="96"/>
      <c r="O4" s="96"/>
      <c r="P4" s="96"/>
      <c r="Q4" s="96"/>
      <c r="R4" s="96"/>
      <c r="S4" s="96"/>
      <c r="T4" s="96"/>
      <c r="U4" s="96"/>
      <c r="V4" s="96"/>
      <c r="W4" s="98"/>
      <c r="X4" s="100" t="str">
        <f>'2FN'!G11</f>
        <v>Se refiere a los usuarios del sistema de información de la Red Pascualina. Un usuario debe tener asociado un tipo de usuario. NOTA IMPORTANTE: además de tener un tipo de usuario, debe tener un rol dentro de la Red.</v>
      </c>
      <c r="Y4" s="98"/>
    </row>
    <row r="5" ht="30.0" customHeight="1">
      <c r="A5" s="99">
        <f t="shared" ref="A5:A26" si="1">A4+1</f>
        <v>2</v>
      </c>
      <c r="B5" s="100" t="str">
        <f>'2FN'!C20</f>
        <v>rol </v>
      </c>
      <c r="C5" s="96"/>
      <c r="D5" s="96"/>
      <c r="E5" s="98"/>
      <c r="F5" s="101" t="str">
        <f>'2FN'!K20</f>
        <v>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v>
      </c>
      <c r="G5" s="96"/>
      <c r="H5" s="96"/>
      <c r="I5" s="96"/>
      <c r="J5" s="96"/>
      <c r="K5" s="96"/>
      <c r="L5" s="96"/>
      <c r="M5" s="96"/>
      <c r="N5" s="96"/>
      <c r="O5" s="96"/>
      <c r="P5" s="96"/>
      <c r="Q5" s="96"/>
      <c r="R5" s="96"/>
      <c r="S5" s="96"/>
      <c r="T5" s="96"/>
      <c r="U5" s="96"/>
      <c r="V5" s="96"/>
      <c r="W5" s="98"/>
      <c r="X5" s="100" t="str">
        <f>'2FN'!G22</f>
        <v>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v>
      </c>
      <c r="Y5" s="98"/>
    </row>
    <row r="6" ht="30.0" customHeight="1">
      <c r="A6" s="99">
        <f t="shared" si="1"/>
        <v>3</v>
      </c>
      <c r="B6" s="100" t="str">
        <f>'2FN'!C25</f>
        <v>tipo_usuario</v>
      </c>
      <c r="C6" s="96"/>
      <c r="D6" s="96"/>
      <c r="E6" s="98"/>
      <c r="F6" s="101" t="str">
        <f>'2FN'!K25</f>
        <v>Estos son potenciales tipos de usuario: estudiante, docente, empleado, empresario, invitado, público en general, entre otros. Sirve para clasificación y estadística. Los ingresa el Usuario con Rol de Administrador.</v>
      </c>
      <c r="G6" s="96"/>
      <c r="H6" s="96"/>
      <c r="I6" s="96"/>
      <c r="J6" s="96"/>
      <c r="K6" s="96"/>
      <c r="L6" s="96"/>
      <c r="M6" s="96"/>
      <c r="N6" s="96"/>
      <c r="O6" s="96"/>
      <c r="P6" s="96"/>
      <c r="Q6" s="96"/>
      <c r="R6" s="96"/>
      <c r="S6" s="96"/>
      <c r="T6" s="96"/>
      <c r="U6" s="96"/>
      <c r="V6" s="96"/>
      <c r="W6" s="98"/>
      <c r="X6" s="100" t="str">
        <f>'2FN'!G27</f>
        <v>Estos son potenciales tipos de usuario: estudiante, docente, empleado, empresario, invitado, público en general, entre otros. Sirve para clasificación y estadística. Los ingresa el Usuario con Rol de Administrador.</v>
      </c>
      <c r="Y6" s="98"/>
    </row>
    <row r="7" ht="30.0" customHeight="1">
      <c r="A7" s="99">
        <f t="shared" si="1"/>
        <v>4</v>
      </c>
      <c r="B7" s="100" t="str">
        <f>'2FN'!C30</f>
        <v>perfil </v>
      </c>
      <c r="C7" s="96"/>
      <c r="D7" s="96"/>
      <c r="E7" s="98"/>
      <c r="F7" s="101" t="str">
        <f>'2FN'!K30</f>
        <v>Compartir su área de estudio, intereses, habilidades en diferentes disciplinas o deportes, etc. Estos perfiles permiten conectar con compañeros para encontrar y seguir a otros estudiantes con intereses y/o actividades similares.</v>
      </c>
      <c r="G7" s="96"/>
      <c r="H7" s="96"/>
      <c r="I7" s="96"/>
      <c r="J7" s="96"/>
      <c r="K7" s="96"/>
      <c r="L7" s="96"/>
      <c r="M7" s="96"/>
      <c r="N7" s="96"/>
      <c r="O7" s="96"/>
      <c r="P7" s="96"/>
      <c r="Q7" s="96"/>
      <c r="R7" s="96"/>
      <c r="S7" s="96"/>
      <c r="T7" s="96"/>
      <c r="U7" s="96"/>
      <c r="V7" s="96"/>
      <c r="W7" s="98"/>
      <c r="X7" s="100" t="str">
        <f>'2FN'!G32</f>
        <v>Compartir su área de estudio, intereses, habilidades en diferentes disciplinas o deportes, etc. Estos perfiles permiten conectar con compañeros para encontrar y seguir a otros estudiantes con intereses y/o actividades similares.</v>
      </c>
      <c r="Y7" s="98"/>
    </row>
    <row r="8" ht="30.0" customHeight="1">
      <c r="A8" s="99">
        <f t="shared" si="1"/>
        <v>5</v>
      </c>
      <c r="B8" s="100" t="str">
        <f>'2FN'!C36</f>
        <v>publicacion </v>
      </c>
      <c r="C8" s="96"/>
      <c r="D8" s="96"/>
      <c r="E8" s="98"/>
      <c r="F8" s="101" t="str">
        <f>'2FN'!K36</f>
        <v>Compartir preguntas sobre tareas, recursos útiles, noticias de la industria tecnológica o incluso memes relevantes para la vida universitaria, entre otros. Las ingresa el usuario participante.</v>
      </c>
      <c r="G8" s="96"/>
      <c r="H8" s="96"/>
      <c r="I8" s="96"/>
      <c r="J8" s="96"/>
      <c r="K8" s="96"/>
      <c r="L8" s="96"/>
      <c r="M8" s="96"/>
      <c r="N8" s="96"/>
      <c r="O8" s="96"/>
      <c r="P8" s="96"/>
      <c r="Q8" s="96"/>
      <c r="R8" s="96"/>
      <c r="S8" s="96"/>
      <c r="T8" s="96"/>
      <c r="U8" s="96"/>
      <c r="V8" s="96"/>
      <c r="W8" s="98"/>
      <c r="X8" s="100" t="str">
        <f>'2FN'!G38</f>
        <v>Compartir su área de estudio, intereses, habilidades en diferentes disciplinas o deportes, etc. Estos perfiles permiten conectar con compañeros para encontrar y seguir a otros estudiantes con intereses y/o actividades similares.</v>
      </c>
      <c r="Y8" s="98"/>
    </row>
    <row r="9" ht="30.0" customHeight="1">
      <c r="A9" s="99">
        <f t="shared" si="1"/>
        <v>6</v>
      </c>
      <c r="B9" s="100" t="str">
        <f>'2FN'!C43</f>
        <v>comentario </v>
      </c>
      <c r="C9" s="96"/>
      <c r="D9" s="96"/>
      <c r="E9" s="98"/>
      <c r="F9" s="101" t="str">
        <f>'2FN'!K43</f>
        <v>Comentarios que se hacen a las publicaciones. Ejemplo: un estudiante publica una nota sobre la participación de Colombia en el Mundial de Fútbol; otros usuarios pueden comentar esta publicación</v>
      </c>
      <c r="G9" s="96"/>
      <c r="H9" s="96"/>
      <c r="I9" s="96"/>
      <c r="J9" s="96"/>
      <c r="K9" s="96"/>
      <c r="L9" s="96"/>
      <c r="M9" s="96"/>
      <c r="N9" s="96"/>
      <c r="O9" s="96"/>
      <c r="P9" s="96"/>
      <c r="Q9" s="96"/>
      <c r="R9" s="96"/>
      <c r="S9" s="96"/>
      <c r="T9" s="96"/>
      <c r="U9" s="96"/>
      <c r="V9" s="96"/>
      <c r="W9" s="98"/>
      <c r="X9" s="100" t="str">
        <f>'2FN'!G45</f>
        <v>Comentarios que se hacen a las publicaciones. Ejemplo: un estudiante publica una nota sobre la participación de Colombia en el Mundial de Fútbol; otros usuarios pueden comentar esta publicación</v>
      </c>
      <c r="Y9" s="98"/>
    </row>
    <row r="10" ht="30.0" customHeight="1">
      <c r="A10" s="99">
        <f t="shared" si="1"/>
        <v>7</v>
      </c>
      <c r="B10" s="100" t="str">
        <f>'2FN'!C51</f>
        <v>grupo </v>
      </c>
      <c r="C10" s="96"/>
      <c r="D10" s="96"/>
      <c r="E10" s="98"/>
      <c r="F10" s="101" t="str">
        <f>'2FN'!K51</f>
        <v>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v>
      </c>
      <c r="G10" s="96"/>
      <c r="H10" s="96"/>
      <c r="I10" s="96"/>
      <c r="J10" s="96"/>
      <c r="K10" s="96"/>
      <c r="L10" s="96"/>
      <c r="M10" s="96"/>
      <c r="N10" s="96"/>
      <c r="O10" s="96"/>
      <c r="P10" s="96"/>
      <c r="Q10" s="96"/>
      <c r="R10" s="96"/>
      <c r="S10" s="96"/>
      <c r="T10" s="96"/>
      <c r="U10" s="96"/>
      <c r="V10" s="96"/>
      <c r="W10" s="98"/>
      <c r="X10" s="100" t="str">
        <f>'2FN'!G53</f>
        <v>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v>
      </c>
      <c r="Y10" s="98"/>
    </row>
    <row r="11" ht="30.0" customHeight="1">
      <c r="A11" s="99">
        <f t="shared" si="1"/>
        <v>8</v>
      </c>
      <c r="B11" s="100" t="str">
        <f>'2FN'!C57</f>
        <v>servicio</v>
      </c>
      <c r="C11" s="96"/>
      <c r="D11" s="96"/>
      <c r="E11" s="98"/>
      <c r="F11" s="101" t="str">
        <f>'2FN'!K57</f>
        <v>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v>
      </c>
      <c r="G11" s="96"/>
      <c r="H11" s="96"/>
      <c r="I11" s="96"/>
      <c r="J11" s="96"/>
      <c r="K11" s="96"/>
      <c r="L11" s="96"/>
      <c r="M11" s="96"/>
      <c r="N11" s="96"/>
      <c r="O11" s="96"/>
      <c r="P11" s="96"/>
      <c r="Q11" s="96"/>
      <c r="R11" s="96"/>
      <c r="S11" s="96"/>
      <c r="T11" s="96"/>
      <c r="U11" s="96"/>
      <c r="V11" s="96"/>
      <c r="W11" s="98"/>
      <c r="X11" s="100" t="str">
        <f>'2FN'!G59</f>
        <v>Los servicios los ofrece un usuario. Debe tener asociado un “Tipo de Servicio” con su descripción y precio (duración y ubicación si aplica). Los ingresa el usuario participante.</v>
      </c>
      <c r="Y11" s="98"/>
    </row>
    <row r="12" ht="30.0" customHeight="1">
      <c r="A12" s="99">
        <f t="shared" si="1"/>
        <v>9</v>
      </c>
      <c r="B12" s="100" t="str">
        <f>'2FN'!C65</f>
        <v>tipo_servicio</v>
      </c>
      <c r="C12" s="96"/>
      <c r="D12" s="96"/>
      <c r="E12" s="98"/>
      <c r="F12" s="101" t="str">
        <f>'2FN'!K65</f>
        <v>Los servicios los ofrece un usuario. Debe tener asociado un “Tipo de Servicio” con su descripción y precio (duración y ubicación si aplica). Los ingresa el usuario participante.</v>
      </c>
      <c r="G12" s="96"/>
      <c r="H12" s="96"/>
      <c r="I12" s="96"/>
      <c r="J12" s="96"/>
      <c r="K12" s="96"/>
      <c r="L12" s="96"/>
      <c r="M12" s="96"/>
      <c r="N12" s="96"/>
      <c r="O12" s="96"/>
      <c r="P12" s="96"/>
      <c r="Q12" s="96"/>
      <c r="R12" s="96"/>
      <c r="S12" s="96"/>
      <c r="T12" s="96"/>
      <c r="U12" s="96"/>
      <c r="V12" s="96"/>
      <c r="W12" s="98"/>
      <c r="X12" s="100" t="str">
        <f>'2FN'!G67</f>
        <v>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v>
      </c>
      <c r="Y12" s="98"/>
    </row>
    <row r="13" ht="30.0" customHeight="1">
      <c r="A13" s="99">
        <f t="shared" si="1"/>
        <v>10</v>
      </c>
      <c r="B13" s="100" t="str">
        <f>'2FN'!C70</f>
        <v>producto</v>
      </c>
      <c r="C13" s="96"/>
      <c r="D13" s="96"/>
      <c r="E13" s="98"/>
      <c r="F13" s="101" t="str">
        <f>'2FN'!K70</f>
        <v>Libros, motocicleta, ropa, ticket para concierto, entre otros. Sirve para clasificación y estadística. Sirve para clasificación y estadística. Los ingresa el Usuario con Rol de Administrador. </v>
      </c>
      <c r="G13" s="96"/>
      <c r="H13" s="96"/>
      <c r="I13" s="96"/>
      <c r="J13" s="96"/>
      <c r="K13" s="96"/>
      <c r="L13" s="96"/>
      <c r="M13" s="96"/>
      <c r="N13" s="96"/>
      <c r="O13" s="96"/>
      <c r="P13" s="96"/>
      <c r="Q13" s="96"/>
      <c r="R13" s="96"/>
      <c r="S13" s="96"/>
      <c r="T13" s="96"/>
      <c r="U13" s="96"/>
      <c r="V13" s="96"/>
      <c r="W13" s="98"/>
      <c r="X13" s="100" t="str">
        <f>'2FN'!G72</f>
        <v>Los usuarios pueden postear productos para la venta y otros usuarios pueden comprar. El producto debe tener asociado un “Tipo de Producto”. Sigue el mismo formato de los servicios y tipos de servicio. Los ingresa el usuario participante.</v>
      </c>
      <c r="Y13" s="98"/>
    </row>
    <row r="14" ht="30.0" customHeight="1">
      <c r="A14" s="99">
        <f t="shared" si="1"/>
        <v>11</v>
      </c>
      <c r="B14" s="100" t="str">
        <f>'2FN'!C78</f>
        <v>tipo_producto</v>
      </c>
      <c r="C14" s="96"/>
      <c r="D14" s="96"/>
      <c r="E14" s="98"/>
      <c r="F14" s="101" t="str">
        <f>'2FN'!K78</f>
        <v>Los usuarios pueden postear productos para la venta y otros usuarios pueden comprar. El producto debe tener asociado un “Tipo de Producto”. Sigue el mismo formato de los servicios y tipos de servicio. Los ingresa el usuario participante.</v>
      </c>
      <c r="G14" s="96"/>
      <c r="H14" s="96"/>
      <c r="I14" s="96"/>
      <c r="J14" s="96"/>
      <c r="K14" s="96"/>
      <c r="L14" s="96"/>
      <c r="M14" s="96"/>
      <c r="N14" s="96"/>
      <c r="O14" s="96"/>
      <c r="P14" s="96"/>
      <c r="Q14" s="96"/>
      <c r="R14" s="96"/>
      <c r="S14" s="96"/>
      <c r="T14" s="96"/>
      <c r="U14" s="96"/>
      <c r="V14" s="96"/>
      <c r="W14" s="98"/>
      <c r="X14" s="100" t="str">
        <f>'2FN'!G80</f>
        <v>Libros, motocicleta, ropa, ticket para concierto, entre otros. Sirve para clasificación y estadística. Sirve para clasificación y estadística. Los ingresa el Usuario con Rol de Administrador. </v>
      </c>
      <c r="Y14" s="98"/>
    </row>
    <row r="15" ht="30.0" customHeight="1">
      <c r="A15" s="99">
        <f t="shared" si="1"/>
        <v>12</v>
      </c>
      <c r="B15" s="100" t="str">
        <f>'2FN'!C83</f>
        <v>evento</v>
      </c>
      <c r="C15" s="96"/>
      <c r="D15" s="96"/>
      <c r="E15" s="98"/>
      <c r="F15" s="101" t="str">
        <f>'2FN'!K83</f>
        <v>Al igual que los anteriores casos de servicio y productos, se cumple lo mismo. El usuario Administrador ingresa los tipos de evento. Sirve para clasificación y estadística. Los ingresa el Usuario con Rol de Administrador</v>
      </c>
      <c r="G15" s="96"/>
      <c r="H15" s="96"/>
      <c r="I15" s="96"/>
      <c r="J15" s="96"/>
      <c r="K15" s="96"/>
      <c r="L15" s="96"/>
      <c r="M15" s="96"/>
      <c r="N15" s="96"/>
      <c r="O15" s="96"/>
      <c r="P15" s="96"/>
      <c r="Q15" s="96"/>
      <c r="R15" s="96"/>
      <c r="S15" s="96"/>
      <c r="T15" s="96"/>
      <c r="U15" s="96"/>
      <c r="V15" s="96"/>
      <c r="W15" s="98"/>
      <c r="X15" s="100" t="str">
        <f>'2FN'!G85</f>
        <v>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v>
      </c>
      <c r="Y15" s="98"/>
    </row>
    <row r="16" ht="30.0" customHeight="1">
      <c r="A16" s="99">
        <f t="shared" si="1"/>
        <v>13</v>
      </c>
      <c r="B16" s="100" t="str">
        <f>'2FN'!C91</f>
        <v>tipo_evento</v>
      </c>
      <c r="C16" s="96"/>
      <c r="D16" s="96"/>
      <c r="E16" s="98"/>
      <c r="F16" s="101" t="str">
        <f>'2FN'!K91</f>
        <v>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v>
      </c>
      <c r="G16" s="96"/>
      <c r="H16" s="96"/>
      <c r="I16" s="96"/>
      <c r="J16" s="96"/>
      <c r="K16" s="96"/>
      <c r="L16" s="96"/>
      <c r="M16" s="96"/>
      <c r="N16" s="96"/>
      <c r="O16" s="96"/>
      <c r="P16" s="96"/>
      <c r="Q16" s="96"/>
      <c r="R16" s="96"/>
      <c r="S16" s="96"/>
      <c r="T16" s="96"/>
      <c r="U16" s="96"/>
      <c r="V16" s="96"/>
      <c r="W16" s="98"/>
      <c r="X16" s="100" t="str">
        <f>'2FN'!G93</f>
        <v>Al igual que los anteriores casos de servicio y productos, se cumple lo mismo. El usuario Administrador ingresa los tipos de evento. Sirve para clasificación y estadística. Los ingresa el Usuario con Rol de Administrador</v>
      </c>
      <c r="Y16" s="98"/>
    </row>
    <row r="17" ht="30.0" customHeight="1">
      <c r="A17" s="99">
        <f t="shared" si="1"/>
        <v>14</v>
      </c>
      <c r="B17" s="100" t="str">
        <f>'2FN'!C96</f>
        <v>notificacion</v>
      </c>
      <c r="C17" s="96"/>
      <c r="D17" s="96"/>
      <c r="E17" s="98"/>
      <c r="F17" s="101" t="str">
        <f>'2FN'!K96</f>
        <v>Permite avisar a los usuarios sobre nuevas publicaciones, comentarios, eventos o servicios.</v>
      </c>
      <c r="G17" s="96"/>
      <c r="H17" s="96"/>
      <c r="I17" s="96"/>
      <c r="J17" s="96"/>
      <c r="K17" s="96"/>
      <c r="L17" s="96"/>
      <c r="M17" s="96"/>
      <c r="N17" s="96"/>
      <c r="O17" s="96"/>
      <c r="P17" s="96"/>
      <c r="Q17" s="96"/>
      <c r="R17" s="96"/>
      <c r="S17" s="96"/>
      <c r="T17" s="96"/>
      <c r="U17" s="96"/>
      <c r="V17" s="96"/>
      <c r="W17" s="98"/>
      <c r="X17" s="100" t="str">
        <f>'2FN'!G98</f>
        <v>Permite avisar a los usuarios sobre nuevas publicaciones, comentarios, eventos o servicios.</v>
      </c>
      <c r="Y17" s="98"/>
    </row>
    <row r="18" ht="30.0" customHeight="1">
      <c r="A18" s="99">
        <f t="shared" si="1"/>
        <v>15</v>
      </c>
      <c r="B18" s="100" t="str">
        <f>'2FN'!C103</f>
        <v>reaccion</v>
      </c>
      <c r="C18" s="96"/>
      <c r="D18" s="96"/>
      <c r="E18" s="98"/>
      <c r="F18" s="101" t="str">
        <f>'2FN'!K96</f>
        <v>Permite avisar a los usuarios sobre nuevas publicaciones, comentarios, eventos o servicios.</v>
      </c>
      <c r="G18" s="96"/>
      <c r="H18" s="96"/>
      <c r="I18" s="96"/>
      <c r="J18" s="96"/>
      <c r="K18" s="96"/>
      <c r="L18" s="96"/>
      <c r="M18" s="96"/>
      <c r="N18" s="96"/>
      <c r="O18" s="96"/>
      <c r="P18" s="96"/>
      <c r="Q18" s="96"/>
      <c r="R18" s="96"/>
      <c r="S18" s="96"/>
      <c r="T18" s="96"/>
      <c r="U18" s="96"/>
      <c r="V18" s="96"/>
      <c r="W18" s="98"/>
      <c r="X18" s="100" t="str">
        <f>'2FN'!G98</f>
        <v>Permite avisar a los usuarios sobre nuevas publicaciones, comentarios, eventos o servicios.</v>
      </c>
      <c r="Y18" s="98"/>
    </row>
    <row r="19" ht="30.0" customHeight="1">
      <c r="A19" s="99">
        <f t="shared" si="1"/>
        <v>16</v>
      </c>
      <c r="B19" s="100" t="str">
        <f>'2FN'!C111</f>
        <v>mensaje_privado</v>
      </c>
      <c r="C19" s="96"/>
      <c r="D19" s="96"/>
      <c r="E19" s="98"/>
      <c r="F19" s="101" t="str">
        <f>'2FN'!K111</f>
        <v>Comunicación directa entre dos usuarios dentro de la red.</v>
      </c>
      <c r="G19" s="96"/>
      <c r="H19" s="96"/>
      <c r="I19" s="96"/>
      <c r="J19" s="96"/>
      <c r="K19" s="96"/>
      <c r="L19" s="96"/>
      <c r="M19" s="96"/>
      <c r="N19" s="96"/>
      <c r="O19" s="96"/>
      <c r="P19" s="96"/>
      <c r="Q19" s="96"/>
      <c r="R19" s="96"/>
      <c r="S19" s="96"/>
      <c r="T19" s="96"/>
      <c r="U19" s="96"/>
      <c r="V19" s="96"/>
      <c r="W19" s="98"/>
      <c r="X19" s="100" t="str">
        <f>'2FN'!G113</f>
        <v>Comunicación directa entre dos usuarios dentro de la red.</v>
      </c>
      <c r="Y19" s="98"/>
    </row>
    <row r="20" ht="30.0" customHeight="1">
      <c r="A20" s="99">
        <f t="shared" si="1"/>
        <v>17</v>
      </c>
      <c r="B20" s="100" t="str">
        <f>'2FN'!C119</f>
        <v>amistad</v>
      </c>
      <c r="C20" s="96"/>
      <c r="D20" s="96"/>
      <c r="E20" s="98"/>
      <c r="F20" s="101" t="str">
        <f>'2FN'!K119</f>
        <v>Representa las conexiones entre usuarios (seguimiento o amistad).</v>
      </c>
      <c r="G20" s="96"/>
      <c r="H20" s="96"/>
      <c r="I20" s="96"/>
      <c r="J20" s="96"/>
      <c r="K20" s="96"/>
      <c r="L20" s="96"/>
      <c r="M20" s="96"/>
      <c r="N20" s="96"/>
      <c r="O20" s="96"/>
      <c r="P20" s="96"/>
      <c r="Q20" s="96"/>
      <c r="R20" s="96"/>
      <c r="S20" s="96"/>
      <c r="T20" s="96"/>
      <c r="U20" s="96"/>
      <c r="V20" s="96"/>
      <c r="W20" s="98"/>
      <c r="X20" s="100" t="str">
        <f>'2FN'!G121</f>
        <v>Representa las conexiones entre usuarios (seguimiento o amistad).</v>
      </c>
      <c r="Y20" s="98"/>
    </row>
    <row r="21" ht="30.0" customHeight="1">
      <c r="A21" s="99">
        <f t="shared" si="1"/>
        <v>18</v>
      </c>
      <c r="B21" s="109" t="str">
        <f>'2FN'!C126</f>
        <v>historial_actividad</v>
      </c>
      <c r="C21" s="96"/>
      <c r="D21" s="96"/>
      <c r="E21" s="98"/>
      <c r="F21" s="101" t="str">
        <f>'2FN'!K126</f>
        <v>Guarda las acciones realizadas por cada usuario (publicar, comentar, unirse a grupo, etc.).</v>
      </c>
      <c r="G21" s="96"/>
      <c r="H21" s="96"/>
      <c r="I21" s="96"/>
      <c r="J21" s="96"/>
      <c r="K21" s="96"/>
      <c r="L21" s="96"/>
      <c r="M21" s="96"/>
      <c r="N21" s="96"/>
      <c r="O21" s="96"/>
      <c r="P21" s="96"/>
      <c r="Q21" s="96"/>
      <c r="R21" s="96"/>
      <c r="S21" s="96"/>
      <c r="T21" s="96"/>
      <c r="U21" s="96"/>
      <c r="V21" s="96"/>
      <c r="W21" s="98"/>
      <c r="X21" s="100" t="str">
        <f>'2FN'!G128</f>
        <v>Guarda las acciones realizadas por cada usuario (publicar, comentar, unirse a grupo, etc.).</v>
      </c>
      <c r="Y21" s="98"/>
    </row>
    <row r="22" ht="30.0" customHeight="1">
      <c r="A22" s="99">
        <f t="shared" si="1"/>
        <v>19</v>
      </c>
      <c r="B22" s="100" t="str">
        <f>'2FN'!C133</f>
        <v>usuario_grupo</v>
      </c>
      <c r="C22" s="96"/>
      <c r="D22" s="96"/>
      <c r="E22" s="98"/>
      <c r="F22" s="101" t="str">
        <f>'2FN'!K133</f>
        <v>Un usuario pertenece a uno o varios grupos.</v>
      </c>
      <c r="G22" s="96"/>
      <c r="H22" s="96"/>
      <c r="I22" s="96"/>
      <c r="J22" s="96"/>
      <c r="K22" s="96"/>
      <c r="L22" s="96"/>
      <c r="M22" s="96"/>
      <c r="N22" s="96"/>
      <c r="O22" s="96"/>
      <c r="P22" s="96"/>
      <c r="Q22" s="96"/>
      <c r="R22" s="96"/>
      <c r="S22" s="96"/>
      <c r="T22" s="96"/>
      <c r="U22" s="96"/>
      <c r="V22" s="96"/>
      <c r="W22" s="98"/>
      <c r="X22" s="100" t="str">
        <f>'2FN'!G135</f>
        <v>Un usuario pertenece a uno o varios grupos.</v>
      </c>
      <c r="Y22" s="98"/>
    </row>
    <row r="23" ht="30.0" customHeight="1">
      <c r="A23" s="99">
        <f t="shared" si="1"/>
        <v>20</v>
      </c>
      <c r="B23" s="100" t="str">
        <f>'2FN'!C141</f>
        <v>evento_usuarios</v>
      </c>
      <c r="C23" s="96"/>
      <c r="D23" s="96"/>
      <c r="E23" s="98"/>
      <c r="F23" s="101" t="str">
        <f>'2FN'!K141</f>
        <v>Un usuario participa en eventos organizados por otros.</v>
      </c>
      <c r="G23" s="96"/>
      <c r="H23" s="96"/>
      <c r="I23" s="96"/>
      <c r="J23" s="96"/>
      <c r="K23" s="96"/>
      <c r="L23" s="96"/>
      <c r="M23" s="96"/>
      <c r="N23" s="96"/>
      <c r="O23" s="96"/>
      <c r="P23" s="96"/>
      <c r="Q23" s="96"/>
      <c r="R23" s="96"/>
      <c r="S23" s="96"/>
      <c r="T23" s="96"/>
      <c r="U23" s="96"/>
      <c r="V23" s="96"/>
      <c r="W23" s="98"/>
      <c r="X23" s="100" t="str">
        <f>'2FN'!G143</f>
        <v>Un usuario participa en eventos organizados por otros.</v>
      </c>
      <c r="Y23" s="98"/>
    </row>
    <row r="24" ht="30.0" customHeight="1">
      <c r="A24" s="99">
        <f t="shared" si="1"/>
        <v>21</v>
      </c>
      <c r="B24" s="100" t="str">
        <f>'2FN'!C150</f>
        <v>usuario_reaccion</v>
      </c>
      <c r="C24" s="96"/>
      <c r="D24" s="96"/>
      <c r="E24" s="98"/>
      <c r="F24" s="101" t="str">
        <f>'2FN'!K150</f>
        <v>Un usuario reacciona a publicaciones o comentarios.</v>
      </c>
      <c r="G24" s="96"/>
      <c r="H24" s="96"/>
      <c r="I24" s="96"/>
      <c r="J24" s="96"/>
      <c r="K24" s="96"/>
      <c r="L24" s="96"/>
      <c r="M24" s="96"/>
      <c r="N24" s="96"/>
      <c r="O24" s="96"/>
      <c r="P24" s="96"/>
      <c r="Q24" s="96"/>
      <c r="R24" s="96"/>
      <c r="S24" s="96"/>
      <c r="T24" s="96"/>
      <c r="U24" s="96"/>
      <c r="V24" s="96"/>
      <c r="W24" s="98"/>
      <c r="X24" s="100" t="str">
        <f>'2FN'!G152</f>
        <v>Un usuario reacciona a publicaciones o comentarios.</v>
      </c>
      <c r="Y24" s="98"/>
    </row>
    <row r="25" ht="30.0" customHeight="1">
      <c r="A25" s="99">
        <f t="shared" si="1"/>
        <v>22</v>
      </c>
      <c r="B25" s="100" t="str">
        <f>'2FN'!C157</f>
        <v>usuario_amistad</v>
      </c>
      <c r="C25" s="96"/>
      <c r="D25" s="96"/>
      <c r="E25" s="98"/>
      <c r="F25" s="101" t="str">
        <f>'2FN'!K157</f>
        <v>Un usuario establece amistad con otro usuario.</v>
      </c>
      <c r="G25" s="96"/>
      <c r="H25" s="96"/>
      <c r="I25" s="96"/>
      <c r="J25" s="96"/>
      <c r="K25" s="96"/>
      <c r="L25" s="96"/>
      <c r="M25" s="96"/>
      <c r="N25" s="96"/>
      <c r="O25" s="96"/>
      <c r="P25" s="96"/>
      <c r="Q25" s="96"/>
      <c r="R25" s="96"/>
      <c r="S25" s="96"/>
      <c r="T25" s="96"/>
      <c r="U25" s="96"/>
      <c r="V25" s="96"/>
      <c r="W25" s="98"/>
      <c r="X25" s="100" t="str">
        <f>'2FN'!G159</f>
        <v>Un usuario establece amistad con otro usuario.</v>
      </c>
      <c r="Y25" s="98"/>
    </row>
    <row r="26" ht="30.0" customHeight="1">
      <c r="A26" s="99">
        <f t="shared" si="1"/>
        <v>23</v>
      </c>
      <c r="B26" s="100" t="str">
        <f>'2FN'!C165</f>
        <v>perfil_publicacion</v>
      </c>
      <c r="C26" s="96"/>
      <c r="D26" s="96"/>
      <c r="E26" s="98"/>
      <c r="F26" s="101" t="str">
        <f>'2FN'!K165</f>
        <v>Un perfil contiene a una o varias publicaciones, y varios perfiles pueden contener la misma publicacion</v>
      </c>
      <c r="G26" s="96"/>
      <c r="H26" s="96"/>
      <c r="I26" s="96"/>
      <c r="J26" s="96"/>
      <c r="K26" s="96"/>
      <c r="L26" s="96"/>
      <c r="M26" s="96"/>
      <c r="N26" s="96"/>
      <c r="O26" s="96"/>
      <c r="P26" s="96"/>
      <c r="Q26" s="96"/>
      <c r="R26" s="96"/>
      <c r="S26" s="96"/>
      <c r="T26" s="96"/>
      <c r="U26" s="96"/>
      <c r="V26" s="96"/>
      <c r="W26" s="98"/>
      <c r="X26" s="100" t="str">
        <f>'2FN'!G167</f>
        <v>Un perfil contiene a una o varias publicaciones, y varios perfiles pueden contener la misma publicacion</v>
      </c>
      <c r="Y26" s="98"/>
    </row>
    <row r="27" ht="27.75" customHeight="1">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row>
    <row r="28" ht="27.75" customHeight="1">
      <c r="A28" s="2" t="s">
        <v>239</v>
      </c>
      <c r="B28" s="4"/>
      <c r="C28" s="4"/>
      <c r="D28" s="4"/>
      <c r="E28" s="4"/>
      <c r="F28" s="4"/>
      <c r="G28" s="4"/>
      <c r="H28" s="4"/>
      <c r="I28" s="4"/>
      <c r="J28" s="4"/>
      <c r="K28" s="4"/>
      <c r="L28" s="4"/>
      <c r="M28" s="4"/>
      <c r="N28" s="4"/>
      <c r="O28" s="4"/>
      <c r="P28" s="4"/>
      <c r="Q28" s="4"/>
      <c r="R28" s="4"/>
      <c r="S28" s="4"/>
      <c r="T28" s="4"/>
      <c r="U28" s="4"/>
      <c r="V28" s="4"/>
      <c r="W28" s="4"/>
      <c r="X28" s="4"/>
      <c r="Y28" s="6"/>
    </row>
    <row r="29" ht="28.5" customHeight="1"/>
    <row r="30" ht="45.75" customHeight="1">
      <c r="A30" s="111">
        <v>1.0</v>
      </c>
      <c r="B30" s="41" t="s">
        <v>7</v>
      </c>
      <c r="C30" s="112" t="str">
        <f>B4</f>
        <v>usuario </v>
      </c>
      <c r="D30" s="7"/>
      <c r="E30" s="7"/>
      <c r="F30" s="8"/>
      <c r="G30" s="46" t="s">
        <v>8</v>
      </c>
      <c r="H30" s="7"/>
      <c r="I30" s="7"/>
      <c r="J30" s="8"/>
      <c r="K30" s="113" t="str">
        <f>F4</f>
        <v>Se refiere a los usuarios del sistema de información de la Red Pascualina. Un usuario debe tener asociado un tipo de usuario. NOTA IMPORTANTE: además de tener un tipo de usuario, debe tener un rol dentro de la Red.</v>
      </c>
      <c r="L30" s="7"/>
      <c r="M30" s="7"/>
      <c r="N30" s="7"/>
      <c r="O30" s="7"/>
      <c r="P30" s="7"/>
      <c r="Q30" s="7"/>
      <c r="R30" s="7"/>
      <c r="S30" s="7"/>
      <c r="T30" s="7"/>
      <c r="U30" s="7"/>
      <c r="V30" s="7"/>
      <c r="W30" s="8"/>
      <c r="X30" s="49" t="s">
        <v>76</v>
      </c>
      <c r="Y30" s="114">
        <v>1.0</v>
      </c>
    </row>
    <row r="31" ht="15.75" customHeight="1">
      <c r="A31" s="63" t="s">
        <v>5</v>
      </c>
      <c r="B31" s="49" t="s">
        <v>245</v>
      </c>
      <c r="C31" s="46" t="s">
        <v>246</v>
      </c>
      <c r="D31" s="7"/>
      <c r="E31" s="7"/>
      <c r="F31" s="8"/>
      <c r="G31" s="46" t="s">
        <v>247</v>
      </c>
      <c r="H31" s="7"/>
      <c r="I31" s="7"/>
      <c r="J31" s="8"/>
      <c r="K31" s="46" t="s">
        <v>250</v>
      </c>
      <c r="L31" s="7"/>
      <c r="M31" s="7"/>
      <c r="N31" s="8"/>
      <c r="O31" s="46" t="s">
        <v>251</v>
      </c>
      <c r="P31" s="7"/>
      <c r="Q31" s="8"/>
      <c r="R31" s="46" t="s">
        <v>101</v>
      </c>
      <c r="S31" s="8"/>
      <c r="T31" s="46" t="s">
        <v>104</v>
      </c>
      <c r="U31" s="8"/>
      <c r="V31" s="46" t="s">
        <v>109</v>
      </c>
      <c r="W31" s="8"/>
      <c r="X31" s="46" t="s">
        <v>253</v>
      </c>
      <c r="Y31" s="8"/>
    </row>
    <row r="32" ht="26.25" customHeight="1">
      <c r="A32" s="68">
        <v>1.0</v>
      </c>
      <c r="B32" s="54" t="s">
        <v>81</v>
      </c>
      <c r="C32" s="55" t="s">
        <v>86</v>
      </c>
      <c r="G32" s="115" t="s">
        <v>254</v>
      </c>
      <c r="H32" s="116"/>
      <c r="I32" s="116"/>
      <c r="J32" s="117"/>
      <c r="K32" s="71"/>
      <c r="L32" s="7"/>
      <c r="M32" s="7"/>
      <c r="N32" s="8"/>
      <c r="O32" s="118"/>
      <c r="P32" s="7"/>
      <c r="Q32" s="8"/>
      <c r="R32" s="119" t="s">
        <v>255</v>
      </c>
      <c r="S32" s="8"/>
      <c r="T32" s="118"/>
      <c r="U32" s="8"/>
      <c r="V32" s="118"/>
      <c r="W32" s="8"/>
      <c r="X32" s="71"/>
      <c r="Y32" s="8"/>
    </row>
    <row r="33" ht="26.25" customHeight="1">
      <c r="A33" s="68">
        <v>2.0</v>
      </c>
      <c r="B33" s="54" t="s">
        <v>102</v>
      </c>
      <c r="C33" s="62" t="s">
        <v>103</v>
      </c>
      <c r="D33" s="28"/>
      <c r="E33" s="28"/>
      <c r="F33" s="29"/>
      <c r="G33" s="120" t="s">
        <v>256</v>
      </c>
      <c r="H33" s="116"/>
      <c r="I33" s="116"/>
      <c r="J33" s="117"/>
      <c r="K33" s="71"/>
      <c r="L33" s="7"/>
      <c r="M33" s="7"/>
      <c r="N33" s="8"/>
      <c r="O33" s="118"/>
      <c r="P33" s="7"/>
      <c r="Q33" s="8"/>
      <c r="R33" s="118"/>
      <c r="S33" s="8"/>
      <c r="T33" s="119" t="s">
        <v>255</v>
      </c>
      <c r="U33" s="8"/>
      <c r="V33" s="118"/>
      <c r="W33" s="8"/>
      <c r="X33" s="71"/>
      <c r="Y33" s="8"/>
    </row>
    <row r="34" ht="26.25" customHeight="1">
      <c r="A34" s="68">
        <v>3.0</v>
      </c>
      <c r="B34" s="54" t="s">
        <v>105</v>
      </c>
      <c r="C34" s="64" t="s">
        <v>106</v>
      </c>
      <c r="D34" s="28"/>
      <c r="E34" s="28"/>
      <c r="F34" s="29"/>
      <c r="G34" s="120" t="s">
        <v>256</v>
      </c>
      <c r="H34" s="116"/>
      <c r="I34" s="121"/>
      <c r="J34" s="117"/>
      <c r="K34" s="71"/>
      <c r="L34" s="7"/>
      <c r="M34" s="7"/>
      <c r="N34" s="8"/>
      <c r="O34" s="118"/>
      <c r="P34" s="7"/>
      <c r="Q34" s="8"/>
      <c r="R34" s="118"/>
      <c r="S34" s="8"/>
      <c r="T34" s="119" t="s">
        <v>255</v>
      </c>
      <c r="U34" s="8"/>
      <c r="V34" s="118"/>
      <c r="W34" s="8"/>
      <c r="X34" s="71"/>
      <c r="Y34" s="8"/>
    </row>
    <row r="35" ht="26.25" customHeight="1">
      <c r="A35" s="68">
        <v>4.0</v>
      </c>
      <c r="B35" s="54" t="s">
        <v>107</v>
      </c>
      <c r="C35" s="62" t="s">
        <v>108</v>
      </c>
      <c r="D35" s="28"/>
      <c r="E35" s="28"/>
      <c r="F35" s="29"/>
      <c r="G35" s="120" t="s">
        <v>256</v>
      </c>
      <c r="H35" s="116"/>
      <c r="I35" s="116"/>
      <c r="J35" s="117"/>
      <c r="K35" s="71"/>
      <c r="L35" s="7"/>
      <c r="M35" s="7"/>
      <c r="N35" s="8"/>
      <c r="O35" s="118"/>
      <c r="P35" s="7"/>
      <c r="Q35" s="8"/>
      <c r="R35" s="118"/>
      <c r="S35" s="8"/>
      <c r="T35" s="118"/>
      <c r="U35" s="8"/>
      <c r="V35" s="119" t="s">
        <v>255</v>
      </c>
      <c r="W35" s="8"/>
      <c r="X35" s="71"/>
      <c r="Y35" s="8"/>
    </row>
    <row r="36" ht="26.25" customHeight="1">
      <c r="A36" s="122">
        <v>5.0</v>
      </c>
      <c r="B36" s="54" t="s">
        <v>110</v>
      </c>
      <c r="C36" s="66" t="s">
        <v>111</v>
      </c>
      <c r="D36" s="7"/>
      <c r="E36" s="7"/>
      <c r="F36" s="8"/>
      <c r="G36" s="120" t="s">
        <v>257</v>
      </c>
      <c r="H36" s="121"/>
      <c r="I36" s="121"/>
      <c r="J36" s="123"/>
      <c r="K36" s="71"/>
      <c r="L36" s="7"/>
      <c r="M36" s="7"/>
      <c r="N36" s="8"/>
      <c r="O36" s="119" t="s">
        <v>258</v>
      </c>
      <c r="P36" s="7"/>
      <c r="Q36" s="8"/>
      <c r="R36" s="118"/>
      <c r="S36" s="8"/>
      <c r="T36" s="118"/>
      <c r="U36" s="8"/>
      <c r="V36" s="124"/>
      <c r="W36" s="8"/>
      <c r="X36" s="71"/>
      <c r="Y36" s="8"/>
    </row>
    <row r="37" ht="26.25" customHeight="1">
      <c r="A37" s="122">
        <v>6.0</v>
      </c>
      <c r="B37" s="54" t="s">
        <v>112</v>
      </c>
      <c r="C37" s="66" t="s">
        <v>113</v>
      </c>
      <c r="D37" s="7"/>
      <c r="E37" s="7"/>
      <c r="F37" s="8"/>
      <c r="G37" s="120" t="s">
        <v>257</v>
      </c>
      <c r="H37" s="121"/>
      <c r="I37" s="121"/>
      <c r="J37" s="123"/>
      <c r="K37" s="71"/>
      <c r="L37" s="7"/>
      <c r="M37" s="7"/>
      <c r="N37" s="8"/>
      <c r="O37" s="119" t="s">
        <v>258</v>
      </c>
      <c r="P37" s="7"/>
      <c r="Q37" s="8"/>
      <c r="R37" s="118"/>
      <c r="S37" s="8"/>
      <c r="T37" s="118"/>
      <c r="U37" s="8"/>
      <c r="V37" s="124"/>
      <c r="W37" s="8"/>
      <c r="X37" s="71"/>
      <c r="Y37" s="8"/>
    </row>
    <row r="38" ht="26.25" customHeight="1">
      <c r="A38" s="122">
        <v>7.0</v>
      </c>
      <c r="B38" s="54" t="s">
        <v>114</v>
      </c>
      <c r="C38" s="70" t="s">
        <v>115</v>
      </c>
      <c r="D38" s="7"/>
      <c r="E38" s="7"/>
      <c r="F38" s="8"/>
      <c r="G38" s="120" t="s">
        <v>257</v>
      </c>
      <c r="H38" s="121"/>
      <c r="I38" s="121"/>
      <c r="J38" s="123"/>
      <c r="K38" s="71"/>
      <c r="L38" s="7"/>
      <c r="M38" s="7"/>
      <c r="N38" s="8"/>
      <c r="O38" s="119" t="s">
        <v>258</v>
      </c>
      <c r="P38" s="7"/>
      <c r="Q38" s="8"/>
      <c r="R38" s="118"/>
      <c r="S38" s="8"/>
      <c r="T38" s="118"/>
      <c r="U38" s="8"/>
      <c r="V38" s="124"/>
      <c r="W38" s="8"/>
      <c r="X38" s="71"/>
      <c r="Y38" s="8"/>
    </row>
    <row r="39" ht="26.25" customHeight="1">
      <c r="A39" s="122">
        <v>8.0</v>
      </c>
      <c r="B39" s="54" t="s">
        <v>116</v>
      </c>
      <c r="C39" s="70" t="s">
        <v>117</v>
      </c>
      <c r="D39" s="7"/>
      <c r="E39" s="7"/>
      <c r="F39" s="8"/>
      <c r="G39" s="120" t="s">
        <v>257</v>
      </c>
      <c r="H39" s="121"/>
      <c r="I39" s="121"/>
      <c r="J39" s="123"/>
      <c r="K39" s="71"/>
      <c r="L39" s="7"/>
      <c r="M39" s="7"/>
      <c r="N39" s="8"/>
      <c r="O39" s="119" t="s">
        <v>258</v>
      </c>
      <c r="P39" s="7"/>
      <c r="Q39" s="8"/>
      <c r="R39" s="118"/>
      <c r="S39" s="8"/>
      <c r="T39" s="118"/>
      <c r="U39" s="8"/>
      <c r="V39" s="124"/>
      <c r="W39" s="8"/>
      <c r="X39" s="71"/>
      <c r="Y39" s="8"/>
    </row>
    <row r="40" ht="28.5" customHeight="1">
      <c r="A40" s="125" t="s">
        <v>259</v>
      </c>
      <c r="B40" s="7"/>
      <c r="C40" s="7"/>
      <c r="D40" s="7"/>
      <c r="E40" s="7"/>
      <c r="F40" s="7"/>
      <c r="G40" s="7"/>
      <c r="H40" s="7"/>
      <c r="I40" s="7"/>
      <c r="J40" s="7"/>
      <c r="K40" s="7"/>
      <c r="L40" s="7"/>
      <c r="M40" s="7"/>
      <c r="N40" s="7"/>
      <c r="O40" s="7"/>
      <c r="P40" s="7"/>
      <c r="Q40" s="7"/>
      <c r="R40" s="7"/>
      <c r="S40" s="7"/>
      <c r="T40" s="7"/>
      <c r="U40" s="7"/>
      <c r="V40" s="7"/>
      <c r="W40" s="7"/>
      <c r="X40" s="7"/>
      <c r="Y40" s="8"/>
    </row>
    <row r="41" ht="48.0" customHeight="1"/>
    <row r="42" ht="45.75" customHeight="1">
      <c r="A42" s="111">
        <v>2.0</v>
      </c>
      <c r="B42" s="41" t="s">
        <v>7</v>
      </c>
      <c r="C42" s="112" t="str">
        <f>B5</f>
        <v>rol </v>
      </c>
      <c r="D42" s="7"/>
      <c r="E42" s="7"/>
      <c r="F42" s="8"/>
      <c r="G42" s="46" t="s">
        <v>8</v>
      </c>
      <c r="H42" s="7"/>
      <c r="I42" s="7"/>
      <c r="J42" s="8"/>
      <c r="K42" s="113" t="str">
        <f>F5</f>
        <v>Los roles pueden ser los siguientes: administrador (adminstra la configuración de la Red en el BackOficce), auxiliar que apoya ciertas operaciones en el BacOffice, miembro (ingresa a la Red y participa en todas las actividades inherentes a este) y visitante (usuarios especiales bajo evaluación que frecuentan la Red Social. Los ingresa el usuario Administrador</v>
      </c>
      <c r="L42" s="7"/>
      <c r="M42" s="7"/>
      <c r="N42" s="7"/>
      <c r="O42" s="7"/>
      <c r="P42" s="7"/>
      <c r="Q42" s="7"/>
      <c r="R42" s="7"/>
      <c r="S42" s="7"/>
      <c r="T42" s="7"/>
      <c r="U42" s="7"/>
      <c r="V42" s="7"/>
      <c r="W42" s="8"/>
      <c r="X42" s="49" t="s">
        <v>76</v>
      </c>
      <c r="Y42" s="114">
        <v>1.0</v>
      </c>
    </row>
    <row r="43" ht="15.75" customHeight="1">
      <c r="A43" s="63" t="s">
        <v>5</v>
      </c>
      <c r="B43" s="49" t="s">
        <v>245</v>
      </c>
      <c r="C43" s="46" t="s">
        <v>246</v>
      </c>
      <c r="D43" s="7"/>
      <c r="E43" s="7"/>
      <c r="F43" s="8"/>
      <c r="G43" s="46" t="s">
        <v>247</v>
      </c>
      <c r="H43" s="7"/>
      <c r="I43" s="7"/>
      <c r="J43" s="8"/>
      <c r="K43" s="46" t="s">
        <v>250</v>
      </c>
      <c r="L43" s="7"/>
      <c r="M43" s="7"/>
      <c r="N43" s="8"/>
      <c r="O43" s="46" t="s">
        <v>251</v>
      </c>
      <c r="P43" s="7"/>
      <c r="Q43" s="8"/>
      <c r="R43" s="46" t="s">
        <v>101</v>
      </c>
      <c r="S43" s="8"/>
      <c r="T43" s="46" t="s">
        <v>104</v>
      </c>
      <c r="U43" s="8"/>
      <c r="V43" s="46" t="s">
        <v>109</v>
      </c>
      <c r="W43" s="8"/>
      <c r="X43" s="46" t="s">
        <v>253</v>
      </c>
      <c r="Y43" s="8"/>
    </row>
    <row r="44" ht="26.25" customHeight="1">
      <c r="A44" s="68">
        <v>1.0</v>
      </c>
      <c r="B44" s="54" t="s">
        <v>105</v>
      </c>
      <c r="C44" s="75" t="s">
        <v>106</v>
      </c>
      <c r="G44" s="120" t="s">
        <v>254</v>
      </c>
      <c r="H44" s="116"/>
      <c r="I44" s="116"/>
      <c r="J44" s="117"/>
      <c r="K44" s="71"/>
      <c r="L44" s="7"/>
      <c r="M44" s="7"/>
      <c r="N44" s="8"/>
      <c r="O44" s="71"/>
      <c r="P44" s="7"/>
      <c r="Q44" s="8"/>
      <c r="R44" s="124" t="s">
        <v>255</v>
      </c>
      <c r="S44" s="8"/>
      <c r="T44" s="126"/>
      <c r="U44" s="8"/>
      <c r="V44" s="126"/>
      <c r="W44" s="8"/>
      <c r="X44" s="71"/>
      <c r="Y44" s="8"/>
    </row>
    <row r="45" ht="26.25" customHeight="1">
      <c r="A45" s="68">
        <v>2.0</v>
      </c>
      <c r="B45" s="54" t="s">
        <v>119</v>
      </c>
      <c r="C45" s="62" t="s">
        <v>120</v>
      </c>
      <c r="D45" s="28"/>
      <c r="E45" s="28"/>
      <c r="F45" s="29"/>
      <c r="G45" s="120" t="s">
        <v>257</v>
      </c>
      <c r="H45" s="116"/>
      <c r="I45" s="116"/>
      <c r="J45" s="117"/>
      <c r="K45" s="71"/>
      <c r="L45" s="7"/>
      <c r="M45" s="7"/>
      <c r="N45" s="8"/>
      <c r="O45" s="71"/>
      <c r="P45" s="7"/>
      <c r="Q45" s="8"/>
      <c r="R45" s="126"/>
      <c r="S45" s="8"/>
      <c r="T45" s="126"/>
      <c r="U45" s="8"/>
      <c r="V45" s="124" t="s">
        <v>255</v>
      </c>
      <c r="W45" s="8"/>
      <c r="X45" s="71"/>
      <c r="Y45" s="8"/>
    </row>
    <row r="46" ht="48.0" customHeight="1"/>
    <row r="47" ht="48.0" customHeight="1">
      <c r="A47" s="127">
        <v>3.0</v>
      </c>
      <c r="B47" s="41" t="s">
        <v>7</v>
      </c>
      <c r="C47" s="112" t="str">
        <f>B6</f>
        <v>tipo_usuario</v>
      </c>
      <c r="D47" s="7"/>
      <c r="E47" s="7"/>
      <c r="F47" s="8"/>
      <c r="G47" s="46" t="s">
        <v>8</v>
      </c>
      <c r="H47" s="7"/>
      <c r="I47" s="7"/>
      <c r="J47" s="8"/>
      <c r="K47" s="113" t="str">
        <f>F6</f>
        <v>Estos son potenciales tipos de usuario: estudiante, docente, empleado, empresario, invitado, público en general, entre otros. Sirve para clasificación y estadística. Los ingresa el Usuario con Rol de Administrador.</v>
      </c>
      <c r="L47" s="7"/>
      <c r="M47" s="7"/>
      <c r="N47" s="7"/>
      <c r="O47" s="7"/>
      <c r="P47" s="7"/>
      <c r="Q47" s="7"/>
      <c r="R47" s="7"/>
      <c r="S47" s="7"/>
      <c r="T47" s="7"/>
      <c r="U47" s="7"/>
      <c r="V47" s="7"/>
      <c r="W47" s="8"/>
      <c r="X47" s="49" t="s">
        <v>76</v>
      </c>
      <c r="Y47" s="114">
        <v>1.0</v>
      </c>
    </row>
    <row r="48" ht="40.5" customHeight="1">
      <c r="A48" s="63" t="s">
        <v>5</v>
      </c>
      <c r="B48" s="49" t="s">
        <v>245</v>
      </c>
      <c r="C48" s="46" t="s">
        <v>246</v>
      </c>
      <c r="D48" s="7"/>
      <c r="E48" s="7"/>
      <c r="F48" s="8"/>
      <c r="G48" s="46" t="s">
        <v>247</v>
      </c>
      <c r="H48" s="7"/>
      <c r="I48" s="7"/>
      <c r="J48" s="8"/>
      <c r="K48" s="46" t="s">
        <v>250</v>
      </c>
      <c r="L48" s="7"/>
      <c r="M48" s="7"/>
      <c r="N48" s="8"/>
      <c r="O48" s="46" t="s">
        <v>251</v>
      </c>
      <c r="P48" s="7"/>
      <c r="Q48" s="8"/>
      <c r="R48" s="46" t="s">
        <v>101</v>
      </c>
      <c r="S48" s="8"/>
      <c r="T48" s="46" t="s">
        <v>104</v>
      </c>
      <c r="U48" s="8"/>
      <c r="V48" s="46" t="s">
        <v>109</v>
      </c>
      <c r="W48" s="8"/>
      <c r="X48" s="46" t="s">
        <v>253</v>
      </c>
      <c r="Y48" s="8"/>
    </row>
    <row r="49" ht="22.5" customHeight="1">
      <c r="A49" s="68">
        <v>1.0</v>
      </c>
      <c r="B49" s="54" t="s">
        <v>102</v>
      </c>
      <c r="C49" s="70" t="s">
        <v>121</v>
      </c>
      <c r="D49" s="7"/>
      <c r="E49" s="7"/>
      <c r="F49" s="8"/>
      <c r="G49" s="115" t="s">
        <v>254</v>
      </c>
      <c r="H49" s="116"/>
      <c r="I49" s="116"/>
      <c r="J49" s="117"/>
      <c r="K49" s="71"/>
      <c r="L49" s="7"/>
      <c r="M49" s="7"/>
      <c r="N49" s="8"/>
      <c r="O49" s="118"/>
      <c r="P49" s="7"/>
      <c r="Q49" s="8"/>
      <c r="R49" s="119" t="s">
        <v>255</v>
      </c>
      <c r="S49" s="8"/>
      <c r="T49" s="118"/>
      <c r="U49" s="8"/>
      <c r="V49" s="118"/>
      <c r="W49" s="8"/>
      <c r="X49" s="71"/>
      <c r="Y49" s="8"/>
    </row>
    <row r="50" ht="22.5" customHeight="1">
      <c r="A50" s="68">
        <v>2.0</v>
      </c>
      <c r="B50" s="54" t="s">
        <v>122</v>
      </c>
      <c r="C50" s="70" t="s">
        <v>123</v>
      </c>
      <c r="D50" s="7"/>
      <c r="E50" s="7"/>
      <c r="F50" s="8"/>
      <c r="G50" s="120" t="s">
        <v>257</v>
      </c>
      <c r="H50" s="116"/>
      <c r="I50" s="116"/>
      <c r="J50" s="117"/>
      <c r="K50" s="71"/>
      <c r="L50" s="7"/>
      <c r="M50" s="7"/>
      <c r="N50" s="8"/>
      <c r="O50" s="119" t="s">
        <v>258</v>
      </c>
      <c r="P50" s="7"/>
      <c r="Q50" s="8"/>
      <c r="R50" s="118"/>
      <c r="S50" s="8"/>
      <c r="T50" s="119"/>
      <c r="U50" s="8"/>
      <c r="V50" s="128"/>
      <c r="W50" s="8"/>
      <c r="X50" s="71"/>
      <c r="Y50" s="8"/>
    </row>
    <row r="51" ht="15.75" customHeight="1"/>
    <row r="52" ht="22.5" customHeight="1">
      <c r="A52" s="127">
        <v>4.0</v>
      </c>
      <c r="B52" s="41" t="s">
        <v>7</v>
      </c>
      <c r="C52" s="112" t="str">
        <f>B7</f>
        <v>perfil </v>
      </c>
      <c r="D52" s="7"/>
      <c r="E52" s="7"/>
      <c r="F52" s="8"/>
      <c r="G52" s="46" t="s">
        <v>8</v>
      </c>
      <c r="H52" s="7"/>
      <c r="I52" s="7"/>
      <c r="J52" s="8"/>
      <c r="K52" s="113" t="str">
        <f>F7</f>
        <v>Compartir su área de estudio, intereses, habilidades en diferentes disciplinas o deportes, etc. Estos perfiles permiten conectar con compañeros para encontrar y seguir a otros estudiantes con intereses y/o actividades similares.</v>
      </c>
      <c r="L52" s="7"/>
      <c r="M52" s="7"/>
      <c r="N52" s="7"/>
      <c r="O52" s="7"/>
      <c r="P52" s="7"/>
      <c r="Q52" s="7"/>
      <c r="R52" s="7"/>
      <c r="S52" s="7"/>
      <c r="T52" s="7"/>
      <c r="U52" s="7"/>
      <c r="V52" s="7"/>
      <c r="W52" s="8"/>
      <c r="X52" s="49" t="s">
        <v>76</v>
      </c>
      <c r="Y52" s="114">
        <v>1.0</v>
      </c>
    </row>
    <row r="53" ht="22.5" customHeight="1">
      <c r="A53" s="63" t="s">
        <v>5</v>
      </c>
      <c r="B53" s="49" t="s">
        <v>245</v>
      </c>
      <c r="C53" s="46" t="s">
        <v>246</v>
      </c>
      <c r="D53" s="7"/>
      <c r="E53" s="7"/>
      <c r="F53" s="8"/>
      <c r="G53" s="46" t="s">
        <v>247</v>
      </c>
      <c r="H53" s="7"/>
      <c r="I53" s="7"/>
      <c r="J53" s="8"/>
      <c r="K53" s="46" t="s">
        <v>250</v>
      </c>
      <c r="L53" s="7"/>
      <c r="M53" s="7"/>
      <c r="N53" s="8"/>
      <c r="O53" s="46" t="s">
        <v>251</v>
      </c>
      <c r="P53" s="7"/>
      <c r="Q53" s="8"/>
      <c r="R53" s="46" t="s">
        <v>101</v>
      </c>
      <c r="S53" s="8"/>
      <c r="T53" s="46" t="s">
        <v>104</v>
      </c>
      <c r="U53" s="8"/>
      <c r="V53" s="46" t="s">
        <v>109</v>
      </c>
      <c r="W53" s="8"/>
      <c r="X53" s="46" t="s">
        <v>253</v>
      </c>
      <c r="Y53" s="8"/>
    </row>
    <row r="54" ht="22.5" customHeight="1">
      <c r="A54" s="68">
        <v>1.0</v>
      </c>
      <c r="B54" s="54" t="s">
        <v>124</v>
      </c>
      <c r="C54" s="62" t="s">
        <v>125</v>
      </c>
      <c r="D54" s="28"/>
      <c r="E54" s="28"/>
      <c r="F54" s="29"/>
      <c r="G54" s="120" t="s">
        <v>254</v>
      </c>
      <c r="H54" s="116"/>
      <c r="I54" s="116"/>
      <c r="J54" s="117"/>
      <c r="K54" s="71"/>
      <c r="L54" s="7"/>
      <c r="M54" s="7"/>
      <c r="N54" s="8"/>
      <c r="O54" s="118"/>
      <c r="P54" s="7"/>
      <c r="Q54" s="8"/>
      <c r="R54" s="119" t="s">
        <v>255</v>
      </c>
      <c r="S54" s="8"/>
      <c r="T54" s="118"/>
      <c r="U54" s="8"/>
      <c r="V54" s="118"/>
      <c r="W54" s="8"/>
      <c r="X54" s="71"/>
      <c r="Y54" s="8"/>
    </row>
    <row r="55" ht="22.5" customHeight="1">
      <c r="A55" s="68">
        <v>2.0</v>
      </c>
      <c r="B55" s="54" t="s">
        <v>81</v>
      </c>
      <c r="C55" s="62" t="s">
        <v>127</v>
      </c>
      <c r="D55" s="28"/>
      <c r="E55" s="28"/>
      <c r="F55" s="29"/>
      <c r="G55" s="120" t="s">
        <v>256</v>
      </c>
      <c r="H55" s="116"/>
      <c r="I55" s="116"/>
      <c r="J55" s="117"/>
      <c r="K55" s="71"/>
      <c r="L55" s="7"/>
      <c r="M55" s="7"/>
      <c r="N55" s="8"/>
      <c r="O55" s="118"/>
      <c r="P55" s="7"/>
      <c r="Q55" s="8"/>
      <c r="R55" s="118"/>
      <c r="S55" s="8"/>
      <c r="T55" s="119" t="s">
        <v>255</v>
      </c>
      <c r="U55" s="8"/>
      <c r="V55" s="118"/>
      <c r="W55" s="8"/>
      <c r="X55" s="71"/>
      <c r="Y55" s="8"/>
    </row>
    <row r="56" ht="22.5" customHeight="1">
      <c r="A56" s="122">
        <v>3.0</v>
      </c>
      <c r="B56" s="54" t="s">
        <v>128</v>
      </c>
      <c r="C56" s="62" t="s">
        <v>129</v>
      </c>
      <c r="D56" s="28"/>
      <c r="E56" s="28"/>
      <c r="F56" s="29"/>
      <c r="G56" s="120" t="s">
        <v>261</v>
      </c>
      <c r="H56" s="116"/>
      <c r="I56" s="116"/>
      <c r="J56" s="117"/>
      <c r="K56" s="71"/>
      <c r="L56" s="7"/>
      <c r="M56" s="7"/>
      <c r="N56" s="8"/>
      <c r="O56" s="119" t="s">
        <v>258</v>
      </c>
      <c r="P56" s="7"/>
      <c r="Q56" s="8"/>
      <c r="R56" s="119"/>
      <c r="S56" s="8"/>
      <c r="T56" s="118"/>
      <c r="U56" s="8"/>
      <c r="V56" s="128"/>
      <c r="W56" s="8"/>
      <c r="X56" s="71"/>
      <c r="Y56" s="8"/>
    </row>
    <row r="57" ht="15.75" customHeight="1"/>
    <row r="58" ht="22.5" customHeight="1">
      <c r="A58" s="127">
        <v>5.0</v>
      </c>
      <c r="B58" s="41" t="s">
        <v>7</v>
      </c>
      <c r="C58" s="112" t="str">
        <f>B8</f>
        <v>publicacion </v>
      </c>
      <c r="D58" s="7"/>
      <c r="E58" s="7"/>
      <c r="F58" s="8"/>
      <c r="G58" s="46" t="s">
        <v>8</v>
      </c>
      <c r="H58" s="7"/>
      <c r="I58" s="7"/>
      <c r="J58" s="8"/>
      <c r="K58" s="113" t="str">
        <f>F8</f>
        <v>Compartir preguntas sobre tareas, recursos útiles, noticias de la industria tecnológica o incluso memes relevantes para la vida universitaria, entre otros. Las ingresa el usuario participante.</v>
      </c>
      <c r="L58" s="7"/>
      <c r="M58" s="7"/>
      <c r="N58" s="7"/>
      <c r="O58" s="7"/>
      <c r="P58" s="7"/>
      <c r="Q58" s="7"/>
      <c r="R58" s="7"/>
      <c r="S58" s="7"/>
      <c r="T58" s="7"/>
      <c r="U58" s="7"/>
      <c r="V58" s="7"/>
      <c r="W58" s="8"/>
      <c r="X58" s="49" t="s">
        <v>76</v>
      </c>
      <c r="Y58" s="114">
        <v>1.0</v>
      </c>
    </row>
    <row r="59" ht="22.5" customHeight="1">
      <c r="A59" s="63" t="s">
        <v>5</v>
      </c>
      <c r="B59" s="49" t="s">
        <v>245</v>
      </c>
      <c r="C59" s="46" t="s">
        <v>246</v>
      </c>
      <c r="D59" s="7"/>
      <c r="E59" s="7"/>
      <c r="F59" s="8"/>
      <c r="G59" s="46" t="s">
        <v>247</v>
      </c>
      <c r="H59" s="7"/>
      <c r="I59" s="7"/>
      <c r="J59" s="8"/>
      <c r="K59" s="46" t="s">
        <v>250</v>
      </c>
      <c r="L59" s="7"/>
      <c r="M59" s="7"/>
      <c r="N59" s="8"/>
      <c r="O59" s="46" t="s">
        <v>251</v>
      </c>
      <c r="P59" s="7"/>
      <c r="Q59" s="8"/>
      <c r="R59" s="46" t="s">
        <v>101</v>
      </c>
      <c r="S59" s="8"/>
      <c r="T59" s="46" t="s">
        <v>104</v>
      </c>
      <c r="U59" s="8"/>
      <c r="V59" s="46" t="s">
        <v>109</v>
      </c>
      <c r="W59" s="8"/>
      <c r="X59" s="46" t="s">
        <v>253</v>
      </c>
      <c r="Y59" s="8"/>
    </row>
    <row r="60" ht="22.5" customHeight="1">
      <c r="A60" s="68">
        <v>1.0</v>
      </c>
      <c r="B60" s="54" t="s">
        <v>130</v>
      </c>
      <c r="C60" s="64" t="s">
        <v>131</v>
      </c>
      <c r="D60" s="28"/>
      <c r="E60" s="28"/>
      <c r="F60" s="29"/>
      <c r="G60" s="120" t="s">
        <v>254</v>
      </c>
      <c r="H60" s="116"/>
      <c r="I60" s="116"/>
      <c r="J60" s="117"/>
      <c r="K60" s="71"/>
      <c r="L60" s="7"/>
      <c r="M60" s="7"/>
      <c r="N60" s="8"/>
      <c r="O60" s="118"/>
      <c r="P60" s="7"/>
      <c r="Q60" s="8"/>
      <c r="R60" s="119" t="s">
        <v>255</v>
      </c>
      <c r="S60" s="8"/>
      <c r="T60" s="118"/>
      <c r="U60" s="8"/>
      <c r="V60" s="118"/>
      <c r="W60" s="8"/>
      <c r="X60" s="71"/>
      <c r="Y60" s="8"/>
    </row>
    <row r="61" ht="22.5" customHeight="1">
      <c r="A61" s="68">
        <v>2.0</v>
      </c>
      <c r="B61" s="54" t="s">
        <v>81</v>
      </c>
      <c r="C61" s="64" t="s">
        <v>132</v>
      </c>
      <c r="D61" s="28"/>
      <c r="E61" s="28"/>
      <c r="F61" s="29"/>
      <c r="G61" s="120" t="s">
        <v>256</v>
      </c>
      <c r="H61" s="116"/>
      <c r="I61" s="116"/>
      <c r="J61" s="117"/>
      <c r="K61" s="71"/>
      <c r="L61" s="7"/>
      <c r="M61" s="7"/>
      <c r="N61" s="8"/>
      <c r="O61" s="118"/>
      <c r="P61" s="7"/>
      <c r="Q61" s="8"/>
      <c r="R61" s="118"/>
      <c r="S61" s="8"/>
      <c r="T61" s="119" t="s">
        <v>255</v>
      </c>
      <c r="U61" s="8"/>
      <c r="V61" s="118"/>
      <c r="W61" s="8"/>
      <c r="X61" s="71"/>
      <c r="Y61" s="8"/>
    </row>
    <row r="62" ht="22.5" customHeight="1">
      <c r="A62" s="122">
        <v>3.0</v>
      </c>
      <c r="B62" s="54" t="s">
        <v>133</v>
      </c>
      <c r="C62" s="64" t="s">
        <v>134</v>
      </c>
      <c r="D62" s="28"/>
      <c r="E62" s="28"/>
      <c r="F62" s="29"/>
      <c r="G62" s="120" t="s">
        <v>261</v>
      </c>
      <c r="H62" s="116"/>
      <c r="I62" s="116"/>
      <c r="J62" s="117"/>
      <c r="K62" s="71"/>
      <c r="L62" s="7"/>
      <c r="M62" s="7"/>
      <c r="N62" s="8"/>
      <c r="O62" s="119" t="s">
        <v>258</v>
      </c>
      <c r="P62" s="7"/>
      <c r="Q62" s="8"/>
      <c r="R62" s="119"/>
      <c r="S62" s="8"/>
      <c r="T62" s="118"/>
      <c r="U62" s="8"/>
      <c r="V62" s="128"/>
      <c r="W62" s="8"/>
      <c r="X62" s="71"/>
      <c r="Y62" s="8"/>
    </row>
    <row r="63" ht="22.5" customHeight="1">
      <c r="A63" s="122">
        <v>4.0</v>
      </c>
      <c r="B63" s="54" t="s">
        <v>135</v>
      </c>
      <c r="C63" s="64" t="s">
        <v>136</v>
      </c>
      <c r="D63" s="28"/>
      <c r="E63" s="28"/>
      <c r="F63" s="29"/>
      <c r="G63" s="129" t="s">
        <v>262</v>
      </c>
      <c r="H63" s="116"/>
      <c r="I63" s="116"/>
      <c r="J63" s="117"/>
      <c r="K63" s="71"/>
      <c r="L63" s="7"/>
      <c r="M63" s="7"/>
      <c r="N63" s="8"/>
      <c r="O63" s="119" t="s">
        <v>258</v>
      </c>
      <c r="P63" s="7"/>
      <c r="Q63" s="8"/>
      <c r="R63" s="119"/>
      <c r="S63" s="8"/>
      <c r="T63" s="118"/>
      <c r="U63" s="8"/>
      <c r="V63" s="128"/>
      <c r="W63" s="8"/>
      <c r="X63" s="71"/>
      <c r="Y63" s="8"/>
    </row>
    <row r="64" ht="22.5" customHeight="1"/>
    <row r="65" ht="22.5" customHeight="1">
      <c r="A65" s="127">
        <v>6.0</v>
      </c>
      <c r="B65" s="41" t="s">
        <v>7</v>
      </c>
      <c r="C65" s="112" t="str">
        <f>B9</f>
        <v>comentario </v>
      </c>
      <c r="D65" s="7"/>
      <c r="E65" s="7"/>
      <c r="F65" s="8"/>
      <c r="G65" s="46" t="s">
        <v>8</v>
      </c>
      <c r="H65" s="7"/>
      <c r="I65" s="7"/>
      <c r="J65" s="8"/>
      <c r="K65" s="113" t="str">
        <f>F9</f>
        <v>Comentarios que se hacen a las publicaciones. Ejemplo: un estudiante publica una nota sobre la participación de Colombia en el Mundial de Fútbol; otros usuarios pueden comentar esta publicación</v>
      </c>
      <c r="L65" s="7"/>
      <c r="M65" s="7"/>
      <c r="N65" s="7"/>
      <c r="O65" s="7"/>
      <c r="P65" s="7"/>
      <c r="Q65" s="7"/>
      <c r="R65" s="7"/>
      <c r="S65" s="7"/>
      <c r="T65" s="7"/>
      <c r="U65" s="7"/>
      <c r="V65" s="7"/>
      <c r="W65" s="8"/>
      <c r="X65" s="49" t="s">
        <v>76</v>
      </c>
      <c r="Y65" s="114">
        <v>1.0</v>
      </c>
    </row>
    <row r="66" ht="22.5" customHeight="1">
      <c r="A66" s="63" t="s">
        <v>5</v>
      </c>
      <c r="B66" s="49" t="s">
        <v>245</v>
      </c>
      <c r="C66" s="46" t="s">
        <v>246</v>
      </c>
      <c r="D66" s="7"/>
      <c r="E66" s="7"/>
      <c r="F66" s="8"/>
      <c r="G66" s="46" t="s">
        <v>247</v>
      </c>
      <c r="H66" s="7"/>
      <c r="I66" s="7"/>
      <c r="J66" s="8"/>
      <c r="K66" s="46" t="s">
        <v>250</v>
      </c>
      <c r="L66" s="7"/>
      <c r="M66" s="7"/>
      <c r="N66" s="8"/>
      <c r="O66" s="46" t="s">
        <v>251</v>
      </c>
      <c r="P66" s="7"/>
      <c r="Q66" s="8"/>
      <c r="R66" s="46" t="s">
        <v>101</v>
      </c>
      <c r="S66" s="8"/>
      <c r="T66" s="46" t="s">
        <v>104</v>
      </c>
      <c r="U66" s="8"/>
      <c r="V66" s="46" t="s">
        <v>109</v>
      </c>
      <c r="W66" s="8"/>
      <c r="X66" s="46" t="s">
        <v>253</v>
      </c>
      <c r="Y66" s="8"/>
    </row>
    <row r="67" ht="22.5" customHeight="1">
      <c r="A67" s="68">
        <v>1.0</v>
      </c>
      <c r="B67" s="54" t="s">
        <v>137</v>
      </c>
      <c r="C67" s="62" t="s">
        <v>138</v>
      </c>
      <c r="D67" s="28"/>
      <c r="E67" s="28"/>
      <c r="F67" s="29"/>
      <c r="G67" s="120" t="s">
        <v>254</v>
      </c>
      <c r="H67" s="116"/>
      <c r="I67" s="116"/>
      <c r="J67" s="117"/>
      <c r="K67" s="71"/>
      <c r="L67" s="7"/>
      <c r="M67" s="7"/>
      <c r="N67" s="8"/>
      <c r="O67" s="118"/>
      <c r="P67" s="7"/>
      <c r="Q67" s="8"/>
      <c r="R67" s="119" t="s">
        <v>255</v>
      </c>
      <c r="S67" s="8"/>
      <c r="T67" s="118"/>
      <c r="U67" s="8"/>
      <c r="V67" s="118"/>
      <c r="W67" s="8"/>
      <c r="X67" s="71"/>
      <c r="Y67" s="8"/>
    </row>
    <row r="68" ht="22.5" customHeight="1">
      <c r="A68" s="68">
        <v>2.0</v>
      </c>
      <c r="B68" s="54" t="s">
        <v>81</v>
      </c>
      <c r="C68" s="64" t="s">
        <v>139</v>
      </c>
      <c r="D68" s="28"/>
      <c r="E68" s="28"/>
      <c r="F68" s="29"/>
      <c r="G68" s="120" t="s">
        <v>256</v>
      </c>
      <c r="H68" s="116"/>
      <c r="I68" s="116"/>
      <c r="J68" s="117"/>
      <c r="K68" s="71"/>
      <c r="L68" s="7"/>
      <c r="M68" s="7"/>
      <c r="N68" s="8"/>
      <c r="O68" s="118"/>
      <c r="P68" s="7"/>
      <c r="Q68" s="8"/>
      <c r="R68" s="118"/>
      <c r="S68" s="8"/>
      <c r="T68" s="119" t="s">
        <v>255</v>
      </c>
      <c r="U68" s="8"/>
      <c r="V68" s="118"/>
      <c r="W68" s="8"/>
      <c r="X68" s="71"/>
      <c r="Y68" s="8"/>
    </row>
    <row r="69" ht="22.5" customHeight="1">
      <c r="A69" s="122">
        <v>3.0</v>
      </c>
      <c r="B69" s="54" t="s">
        <v>130</v>
      </c>
      <c r="C69" s="62" t="s">
        <v>140</v>
      </c>
      <c r="D69" s="28"/>
      <c r="E69" s="28"/>
      <c r="F69" s="29"/>
      <c r="G69" s="120" t="s">
        <v>256</v>
      </c>
      <c r="H69" s="116"/>
      <c r="I69" s="116"/>
      <c r="J69" s="117"/>
      <c r="K69" s="71"/>
      <c r="L69" s="7"/>
      <c r="M69" s="7"/>
      <c r="N69" s="8"/>
      <c r="O69" s="118"/>
      <c r="P69" s="7"/>
      <c r="Q69" s="8"/>
      <c r="R69" s="119"/>
      <c r="S69" s="8"/>
      <c r="T69" s="119" t="s">
        <v>255</v>
      </c>
      <c r="U69" s="8"/>
      <c r="V69" s="128"/>
      <c r="W69" s="8"/>
      <c r="X69" s="71"/>
      <c r="Y69" s="8"/>
    </row>
    <row r="70" ht="22.5" customHeight="1">
      <c r="A70" s="122">
        <v>4.0</v>
      </c>
      <c r="B70" s="54" t="s">
        <v>133</v>
      </c>
      <c r="C70" s="62" t="s">
        <v>141</v>
      </c>
      <c r="D70" s="28"/>
      <c r="E70" s="28"/>
      <c r="F70" s="29"/>
      <c r="G70" s="120" t="s">
        <v>261</v>
      </c>
      <c r="H70" s="116"/>
      <c r="I70" s="116"/>
      <c r="J70" s="117"/>
      <c r="K70" s="71"/>
      <c r="L70" s="7"/>
      <c r="M70" s="7"/>
      <c r="N70" s="8"/>
      <c r="O70" s="119" t="s">
        <v>258</v>
      </c>
      <c r="P70" s="7"/>
      <c r="Q70" s="8"/>
      <c r="R70" s="119"/>
      <c r="S70" s="8"/>
      <c r="T70" s="118"/>
      <c r="U70" s="8"/>
      <c r="V70" s="128"/>
      <c r="W70" s="8"/>
      <c r="X70" s="71"/>
      <c r="Y70" s="8"/>
    </row>
    <row r="71" ht="22.5" customHeight="1">
      <c r="A71" s="122">
        <v>5.0</v>
      </c>
      <c r="B71" s="54" t="s">
        <v>135</v>
      </c>
      <c r="C71" s="86" t="s">
        <v>142</v>
      </c>
      <c r="D71" s="7"/>
      <c r="E71" s="7"/>
      <c r="F71" s="8"/>
      <c r="G71" s="129" t="s">
        <v>262</v>
      </c>
      <c r="H71" s="116"/>
      <c r="I71" s="116"/>
      <c r="J71" s="117"/>
      <c r="K71" s="71"/>
      <c r="L71" s="7"/>
      <c r="M71" s="7"/>
      <c r="N71" s="8"/>
      <c r="O71" s="119" t="s">
        <v>258</v>
      </c>
      <c r="P71" s="7"/>
      <c r="Q71" s="8"/>
      <c r="R71" s="119"/>
      <c r="S71" s="8"/>
      <c r="T71" s="118"/>
      <c r="U71" s="8"/>
      <c r="V71" s="128"/>
      <c r="W71" s="8"/>
      <c r="X71" s="71"/>
      <c r="Y71" s="8"/>
    </row>
    <row r="72" ht="22.5" customHeight="1"/>
    <row r="73" ht="22.5" customHeight="1">
      <c r="A73" s="127">
        <v>7.0</v>
      </c>
      <c r="B73" s="41" t="s">
        <v>7</v>
      </c>
      <c r="C73" s="112" t="str">
        <f>B10</f>
        <v>grupo </v>
      </c>
      <c r="D73" s="7"/>
      <c r="E73" s="7"/>
      <c r="F73" s="8"/>
      <c r="G73" s="46" t="s">
        <v>8</v>
      </c>
      <c r="H73" s="7"/>
      <c r="I73" s="7"/>
      <c r="J73" s="8"/>
      <c r="K73" s="113" t="str">
        <f>F10</f>
        <v>Los grupos pueden ser de estudio para materias específicas, equipos para hackatones o clubes de interés (videojuegos, programación competitiva, etc.). También los empleados pueden tener sus grupos así como los docentes y los empresarios. Un grupo debe tener asociado un “Perfil”. Los ingresa el usuario participante.</v>
      </c>
      <c r="L73" s="7"/>
      <c r="M73" s="7"/>
      <c r="N73" s="7"/>
      <c r="O73" s="7"/>
      <c r="P73" s="7"/>
      <c r="Q73" s="7"/>
      <c r="R73" s="7"/>
      <c r="S73" s="7"/>
      <c r="T73" s="7"/>
      <c r="U73" s="7"/>
      <c r="V73" s="7"/>
      <c r="W73" s="8"/>
      <c r="X73" s="49" t="s">
        <v>76</v>
      </c>
      <c r="Y73" s="114">
        <v>1.0</v>
      </c>
    </row>
    <row r="74" ht="22.5" customHeight="1">
      <c r="A74" s="63" t="s">
        <v>5</v>
      </c>
      <c r="B74" s="49" t="s">
        <v>245</v>
      </c>
      <c r="C74" s="46" t="s">
        <v>246</v>
      </c>
      <c r="D74" s="7"/>
      <c r="E74" s="7"/>
      <c r="F74" s="8"/>
      <c r="G74" s="46" t="s">
        <v>247</v>
      </c>
      <c r="H74" s="7"/>
      <c r="I74" s="7"/>
      <c r="J74" s="8"/>
      <c r="K74" s="46" t="s">
        <v>250</v>
      </c>
      <c r="L74" s="7"/>
      <c r="M74" s="7"/>
      <c r="N74" s="8"/>
      <c r="O74" s="46" t="s">
        <v>251</v>
      </c>
      <c r="P74" s="7"/>
      <c r="Q74" s="8"/>
      <c r="R74" s="46" t="s">
        <v>101</v>
      </c>
      <c r="S74" s="8"/>
      <c r="T74" s="46" t="s">
        <v>104</v>
      </c>
      <c r="U74" s="8"/>
      <c r="V74" s="46" t="s">
        <v>109</v>
      </c>
      <c r="W74" s="8"/>
      <c r="X74" s="46" t="s">
        <v>253</v>
      </c>
      <c r="Y74" s="8"/>
    </row>
    <row r="75" ht="22.5" customHeight="1">
      <c r="A75" s="68">
        <v>1.0</v>
      </c>
      <c r="B75" s="54" t="s">
        <v>143</v>
      </c>
      <c r="C75" s="62" t="s">
        <v>125</v>
      </c>
      <c r="D75" s="28"/>
      <c r="E75" s="28"/>
      <c r="F75" s="29"/>
      <c r="G75" s="120" t="s">
        <v>254</v>
      </c>
      <c r="H75" s="116"/>
      <c r="I75" s="116"/>
      <c r="J75" s="117"/>
      <c r="K75" s="71"/>
      <c r="L75" s="7"/>
      <c r="M75" s="7"/>
      <c r="N75" s="8"/>
      <c r="O75" s="118"/>
      <c r="P75" s="7"/>
      <c r="Q75" s="8"/>
      <c r="R75" s="119" t="s">
        <v>255</v>
      </c>
      <c r="S75" s="8"/>
      <c r="T75" s="118"/>
      <c r="U75" s="8"/>
      <c r="V75" s="118"/>
      <c r="W75" s="8"/>
      <c r="X75" s="71"/>
      <c r="Y75" s="8"/>
    </row>
    <row r="76" ht="22.5" customHeight="1">
      <c r="A76" s="68">
        <v>2.0</v>
      </c>
      <c r="B76" s="54" t="s">
        <v>124</v>
      </c>
      <c r="C76" s="62" t="s">
        <v>127</v>
      </c>
      <c r="D76" s="28"/>
      <c r="E76" s="28"/>
      <c r="F76" s="29"/>
      <c r="G76" s="120" t="s">
        <v>256</v>
      </c>
      <c r="H76" s="116"/>
      <c r="I76" s="116"/>
      <c r="J76" s="117"/>
      <c r="K76" s="71"/>
      <c r="L76" s="7"/>
      <c r="M76" s="7"/>
      <c r="N76" s="8"/>
      <c r="O76" s="118"/>
      <c r="P76" s="7"/>
      <c r="Q76" s="8"/>
      <c r="R76" s="118"/>
      <c r="S76" s="8"/>
      <c r="T76" s="119" t="s">
        <v>255</v>
      </c>
      <c r="U76" s="8"/>
      <c r="V76" s="118"/>
      <c r="W76" s="8"/>
      <c r="X76" s="71"/>
      <c r="Y76" s="8"/>
    </row>
    <row r="77" ht="22.5" customHeight="1">
      <c r="A77" s="122">
        <v>3.0</v>
      </c>
      <c r="B77" s="54" t="s">
        <v>146</v>
      </c>
      <c r="C77" s="62" t="s">
        <v>129</v>
      </c>
      <c r="D77" s="28"/>
      <c r="E77" s="28"/>
      <c r="F77" s="29"/>
      <c r="G77" s="120" t="s">
        <v>257</v>
      </c>
      <c r="H77" s="116"/>
      <c r="I77" s="116"/>
      <c r="J77" s="117"/>
      <c r="K77" s="71"/>
      <c r="L77" s="7"/>
      <c r="M77" s="7"/>
      <c r="N77" s="8"/>
      <c r="O77" s="119" t="s">
        <v>258</v>
      </c>
      <c r="P77" s="7"/>
      <c r="Q77" s="8"/>
      <c r="R77" s="119"/>
      <c r="S77" s="8"/>
      <c r="T77" s="118"/>
      <c r="U77" s="8"/>
      <c r="V77" s="128"/>
      <c r="W77" s="8"/>
      <c r="X77" s="71"/>
      <c r="Y77" s="8"/>
    </row>
    <row r="78" ht="22.5" customHeight="1"/>
    <row r="79" ht="22.5" customHeight="1">
      <c r="A79" s="127">
        <v>8.0</v>
      </c>
      <c r="B79" s="41" t="s">
        <v>7</v>
      </c>
      <c r="C79" s="112" t="str">
        <f>B11</f>
        <v>servicio</v>
      </c>
      <c r="D79" s="7"/>
      <c r="E79" s="7"/>
      <c r="F79" s="8"/>
      <c r="G79" s="46" t="s">
        <v>8</v>
      </c>
      <c r="H79" s="7"/>
      <c r="I79" s="7"/>
      <c r="J79" s="8"/>
      <c r="K79" s="113" t="str">
        <f>F11</f>
        <v>Cambalache, cursos, tutorías, mantenimiento de vehículos, eventos, entre otros.  Los tipos de servicio los registra el usuario con rol de administrador o auxiliar (si se le concede el permiso para esto). NOTA: Es general para todos. Sirve para clasificación y estadística. Los ingresa el Usuario con Rol de Administrador</v>
      </c>
      <c r="L79" s="7"/>
      <c r="M79" s="7"/>
      <c r="N79" s="7"/>
      <c r="O79" s="7"/>
      <c r="P79" s="7"/>
      <c r="Q79" s="7"/>
      <c r="R79" s="7"/>
      <c r="S79" s="7"/>
      <c r="T79" s="7"/>
      <c r="U79" s="7"/>
      <c r="V79" s="7"/>
      <c r="W79" s="8"/>
      <c r="X79" s="49" t="s">
        <v>76</v>
      </c>
      <c r="Y79" s="114">
        <v>1.0</v>
      </c>
    </row>
    <row r="80" ht="22.5" customHeight="1">
      <c r="A80" s="63" t="s">
        <v>5</v>
      </c>
      <c r="B80" s="49" t="s">
        <v>245</v>
      </c>
      <c r="C80" s="46" t="s">
        <v>246</v>
      </c>
      <c r="D80" s="7"/>
      <c r="E80" s="7"/>
      <c r="F80" s="8"/>
      <c r="G80" s="46" t="s">
        <v>247</v>
      </c>
      <c r="H80" s="7"/>
      <c r="I80" s="7"/>
      <c r="J80" s="8"/>
      <c r="K80" s="46" t="s">
        <v>250</v>
      </c>
      <c r="L80" s="7"/>
      <c r="M80" s="7"/>
      <c r="N80" s="8"/>
      <c r="O80" s="46" t="s">
        <v>251</v>
      </c>
      <c r="P80" s="7"/>
      <c r="Q80" s="8"/>
      <c r="R80" s="46" t="s">
        <v>101</v>
      </c>
      <c r="S80" s="8"/>
      <c r="T80" s="46" t="s">
        <v>104</v>
      </c>
      <c r="U80" s="8"/>
      <c r="V80" s="46" t="s">
        <v>109</v>
      </c>
      <c r="W80" s="8"/>
      <c r="X80" s="46" t="s">
        <v>253</v>
      </c>
      <c r="Y80" s="8"/>
    </row>
    <row r="81" ht="22.5" customHeight="1">
      <c r="A81" s="68">
        <v>1.0</v>
      </c>
      <c r="B81" s="54" t="s">
        <v>148</v>
      </c>
      <c r="C81" s="87" t="s">
        <v>149</v>
      </c>
      <c r="D81" s="7"/>
      <c r="E81" s="7"/>
      <c r="F81" s="8"/>
      <c r="G81" s="120" t="s">
        <v>254</v>
      </c>
      <c r="H81" s="116"/>
      <c r="I81" s="116"/>
      <c r="J81" s="117"/>
      <c r="K81" s="71"/>
      <c r="L81" s="7"/>
      <c r="M81" s="7"/>
      <c r="N81" s="8"/>
      <c r="O81" s="118"/>
      <c r="P81" s="7"/>
      <c r="Q81" s="8"/>
      <c r="R81" s="119" t="s">
        <v>255</v>
      </c>
      <c r="S81" s="8"/>
      <c r="T81" s="118"/>
      <c r="U81" s="8"/>
      <c r="V81" s="118"/>
      <c r="W81" s="8"/>
      <c r="X81" s="71"/>
      <c r="Y81" s="8"/>
    </row>
    <row r="82" ht="22.5" customHeight="1">
      <c r="A82" s="68">
        <v>2.0</v>
      </c>
      <c r="B82" s="54" t="s">
        <v>150</v>
      </c>
      <c r="C82" s="87" t="s">
        <v>151</v>
      </c>
      <c r="D82" s="7"/>
      <c r="E82" s="7"/>
      <c r="F82" s="8"/>
      <c r="G82" s="120" t="s">
        <v>263</v>
      </c>
      <c r="H82" s="116"/>
      <c r="I82" s="116"/>
      <c r="J82" s="117"/>
      <c r="K82" s="71"/>
      <c r="L82" s="7"/>
      <c r="M82" s="7"/>
      <c r="N82" s="8"/>
      <c r="O82" s="118"/>
      <c r="P82" s="7"/>
      <c r="Q82" s="8"/>
      <c r="R82" s="118"/>
      <c r="S82" s="8"/>
      <c r="T82" s="119" t="s">
        <v>255</v>
      </c>
      <c r="U82" s="8"/>
      <c r="V82" s="118"/>
      <c r="W82" s="8"/>
      <c r="X82" s="71"/>
      <c r="Y82" s="8"/>
    </row>
    <row r="83" ht="22.5" customHeight="1">
      <c r="A83" s="122">
        <v>3.0</v>
      </c>
      <c r="B83" s="54" t="s">
        <v>81</v>
      </c>
      <c r="C83" s="87" t="s">
        <v>152</v>
      </c>
      <c r="D83" s="7"/>
      <c r="E83" s="7"/>
      <c r="F83" s="8"/>
      <c r="G83" s="120" t="s">
        <v>256</v>
      </c>
      <c r="H83" s="116"/>
      <c r="I83" s="116"/>
      <c r="J83" s="117"/>
      <c r="K83" s="71"/>
      <c r="L83" s="7"/>
      <c r="M83" s="7"/>
      <c r="N83" s="8"/>
      <c r="O83" s="118"/>
      <c r="P83" s="7"/>
      <c r="Q83" s="8"/>
      <c r="R83" s="119"/>
      <c r="S83" s="8"/>
      <c r="T83" s="119" t="s">
        <v>255</v>
      </c>
      <c r="U83" s="8"/>
      <c r="V83" s="128"/>
      <c r="W83" s="8"/>
      <c r="X83" s="71"/>
      <c r="Y83" s="8"/>
    </row>
    <row r="84" ht="22.5" customHeight="1">
      <c r="A84" s="122">
        <v>4.0</v>
      </c>
      <c r="B84" s="54" t="s">
        <v>153</v>
      </c>
      <c r="C84" s="62" t="s">
        <v>264</v>
      </c>
      <c r="D84" s="28"/>
      <c r="E84" s="28"/>
      <c r="F84" s="29"/>
      <c r="G84" s="120" t="s">
        <v>265</v>
      </c>
      <c r="H84" s="116"/>
      <c r="I84" s="116"/>
      <c r="J84" s="117"/>
      <c r="K84" s="71"/>
      <c r="L84" s="7"/>
      <c r="M84" s="7"/>
      <c r="N84" s="8"/>
      <c r="O84" s="119" t="s">
        <v>258</v>
      </c>
      <c r="P84" s="7"/>
      <c r="Q84" s="8"/>
      <c r="R84" s="119"/>
      <c r="S84" s="8"/>
      <c r="T84" s="118"/>
      <c r="U84" s="8"/>
      <c r="V84" s="128"/>
      <c r="W84" s="8"/>
      <c r="X84" s="71"/>
      <c r="Y84" s="8"/>
    </row>
    <row r="85" ht="22.5" customHeight="1">
      <c r="A85" s="122">
        <v>5.0</v>
      </c>
      <c r="B85" s="54" t="s">
        <v>128</v>
      </c>
      <c r="C85" s="88" t="s">
        <v>155</v>
      </c>
      <c r="D85" s="28"/>
      <c r="E85" s="28"/>
      <c r="F85" s="29"/>
      <c r="G85" s="129" t="s">
        <v>266</v>
      </c>
      <c r="H85" s="116"/>
      <c r="I85" s="116"/>
      <c r="J85" s="117"/>
      <c r="K85" s="71"/>
      <c r="L85" s="7"/>
      <c r="M85" s="7"/>
      <c r="N85" s="8"/>
      <c r="O85" s="119" t="s">
        <v>258</v>
      </c>
      <c r="P85" s="7"/>
      <c r="Q85" s="8"/>
      <c r="R85" s="119"/>
      <c r="S85" s="8"/>
      <c r="T85" s="118"/>
      <c r="U85" s="8"/>
      <c r="V85" s="128"/>
      <c r="W85" s="8"/>
      <c r="X85" s="71"/>
      <c r="Y85" s="8"/>
    </row>
    <row r="86" ht="22.5" customHeight="1"/>
    <row r="87" ht="22.5" customHeight="1">
      <c r="A87" s="127">
        <v>9.0</v>
      </c>
      <c r="B87" s="41" t="s">
        <v>7</v>
      </c>
      <c r="C87" s="112" t="str">
        <f>B46</f>
        <v/>
      </c>
      <c r="D87" s="7"/>
      <c r="E87" s="7"/>
      <c r="F87" s="8"/>
      <c r="G87" s="46" t="s">
        <v>8</v>
      </c>
      <c r="H87" s="7"/>
      <c r="I87" s="7"/>
      <c r="J87" s="8"/>
      <c r="K87" s="113" t="str">
        <f>F46</f>
        <v/>
      </c>
      <c r="L87" s="7"/>
      <c r="M87" s="7"/>
      <c r="N87" s="7"/>
      <c r="O87" s="7"/>
      <c r="P87" s="7"/>
      <c r="Q87" s="7"/>
      <c r="R87" s="7"/>
      <c r="S87" s="7"/>
      <c r="T87" s="7"/>
      <c r="U87" s="7"/>
      <c r="V87" s="7"/>
      <c r="W87" s="8"/>
      <c r="X87" s="49" t="s">
        <v>76</v>
      </c>
      <c r="Y87" s="114">
        <v>1.0</v>
      </c>
    </row>
    <row r="88" ht="22.5" customHeight="1">
      <c r="A88" s="63" t="s">
        <v>5</v>
      </c>
      <c r="B88" s="49" t="s">
        <v>245</v>
      </c>
      <c r="C88" s="46" t="s">
        <v>246</v>
      </c>
      <c r="D88" s="7"/>
      <c r="E88" s="7"/>
      <c r="F88" s="8"/>
      <c r="G88" s="46" t="s">
        <v>247</v>
      </c>
      <c r="H88" s="7"/>
      <c r="I88" s="7"/>
      <c r="J88" s="8"/>
      <c r="K88" s="46" t="s">
        <v>250</v>
      </c>
      <c r="L88" s="7"/>
      <c r="M88" s="7"/>
      <c r="N88" s="8"/>
      <c r="O88" s="46" t="s">
        <v>251</v>
      </c>
      <c r="P88" s="7"/>
      <c r="Q88" s="8"/>
      <c r="R88" s="46" t="s">
        <v>101</v>
      </c>
      <c r="S88" s="8"/>
      <c r="T88" s="46" t="s">
        <v>104</v>
      </c>
      <c r="U88" s="8"/>
      <c r="V88" s="46" t="s">
        <v>109</v>
      </c>
      <c r="W88" s="8"/>
      <c r="X88" s="46" t="s">
        <v>253</v>
      </c>
      <c r="Y88" s="8"/>
    </row>
    <row r="89" ht="22.5" customHeight="1">
      <c r="A89" s="68">
        <v>1.0</v>
      </c>
      <c r="B89" s="89" t="s">
        <v>150</v>
      </c>
      <c r="C89" s="90" t="s">
        <v>151</v>
      </c>
      <c r="D89" s="7"/>
      <c r="E89" s="7"/>
      <c r="F89" s="8"/>
      <c r="G89" s="120" t="s">
        <v>254</v>
      </c>
      <c r="H89" s="116"/>
      <c r="I89" s="116"/>
      <c r="J89" s="117"/>
      <c r="K89" s="71"/>
      <c r="L89" s="7"/>
      <c r="M89" s="7"/>
      <c r="N89" s="8"/>
      <c r="O89" s="118"/>
      <c r="P89" s="7"/>
      <c r="Q89" s="8"/>
      <c r="R89" s="119" t="s">
        <v>255</v>
      </c>
      <c r="S89" s="8"/>
      <c r="T89" s="118"/>
      <c r="U89" s="8"/>
      <c r="V89" s="118"/>
      <c r="W89" s="8"/>
      <c r="X89" s="71"/>
      <c r="Y89" s="8"/>
    </row>
    <row r="90" ht="22.5" customHeight="1">
      <c r="A90" s="68">
        <v>2.0</v>
      </c>
      <c r="B90" s="89" t="s">
        <v>122</v>
      </c>
      <c r="C90" s="90" t="s">
        <v>156</v>
      </c>
      <c r="D90" s="7"/>
      <c r="E90" s="7"/>
      <c r="F90" s="8"/>
      <c r="G90" s="120" t="s">
        <v>256</v>
      </c>
      <c r="H90" s="116"/>
      <c r="I90" s="116"/>
      <c r="J90" s="117"/>
      <c r="K90" s="71"/>
      <c r="L90" s="7"/>
      <c r="M90" s="7"/>
      <c r="N90" s="8"/>
      <c r="O90" s="119"/>
      <c r="P90" s="7"/>
      <c r="Q90" s="8"/>
      <c r="R90" s="118"/>
      <c r="S90" s="8"/>
      <c r="T90" s="119" t="s">
        <v>255</v>
      </c>
      <c r="U90" s="8"/>
      <c r="V90" s="128"/>
      <c r="W90" s="8"/>
      <c r="X90" s="71"/>
      <c r="Y90" s="8"/>
    </row>
    <row r="91" ht="22.5" customHeight="1"/>
    <row r="92" ht="22.5" customHeight="1">
      <c r="A92" s="127">
        <v>10.0</v>
      </c>
      <c r="B92" s="41" t="s">
        <v>7</v>
      </c>
      <c r="C92" s="112" t="str">
        <f>B13</f>
        <v>producto</v>
      </c>
      <c r="D92" s="7"/>
      <c r="E92" s="7"/>
      <c r="F92" s="8"/>
      <c r="G92" s="46" t="s">
        <v>8</v>
      </c>
      <c r="H92" s="7"/>
      <c r="I92" s="7"/>
      <c r="J92" s="8"/>
      <c r="K92" s="113" t="str">
        <f>F13</f>
        <v>Libros, motocicleta, ropa, ticket para concierto, entre otros. Sirve para clasificación y estadística. Sirve para clasificación y estadística. Los ingresa el Usuario con Rol de Administrador. </v>
      </c>
      <c r="L92" s="7"/>
      <c r="M92" s="7"/>
      <c r="N92" s="7"/>
      <c r="O92" s="7"/>
      <c r="P92" s="7"/>
      <c r="Q92" s="7"/>
      <c r="R92" s="7"/>
      <c r="S92" s="7"/>
      <c r="T92" s="7"/>
      <c r="U92" s="7"/>
      <c r="V92" s="7"/>
      <c r="W92" s="8"/>
      <c r="X92" s="49" t="s">
        <v>76</v>
      </c>
      <c r="Y92" s="114">
        <v>1.0</v>
      </c>
    </row>
    <row r="93" ht="22.5" customHeight="1">
      <c r="A93" s="63" t="s">
        <v>5</v>
      </c>
      <c r="B93" s="49" t="s">
        <v>245</v>
      </c>
      <c r="C93" s="46" t="s">
        <v>246</v>
      </c>
      <c r="D93" s="7"/>
      <c r="E93" s="7"/>
      <c r="F93" s="8"/>
      <c r="G93" s="46" t="s">
        <v>247</v>
      </c>
      <c r="H93" s="7"/>
      <c r="I93" s="7"/>
      <c r="J93" s="8"/>
      <c r="K93" s="46" t="s">
        <v>250</v>
      </c>
      <c r="L93" s="7"/>
      <c r="M93" s="7"/>
      <c r="N93" s="8"/>
      <c r="O93" s="46" t="s">
        <v>251</v>
      </c>
      <c r="P93" s="7"/>
      <c r="Q93" s="8"/>
      <c r="R93" s="46" t="s">
        <v>101</v>
      </c>
      <c r="S93" s="8"/>
      <c r="T93" s="46" t="s">
        <v>104</v>
      </c>
      <c r="U93" s="8"/>
      <c r="V93" s="46" t="s">
        <v>109</v>
      </c>
      <c r="W93" s="8"/>
      <c r="X93" s="46" t="s">
        <v>253</v>
      </c>
      <c r="Y93" s="8"/>
    </row>
    <row r="94" ht="22.5" customHeight="1">
      <c r="A94" s="68">
        <v>1.0</v>
      </c>
      <c r="B94" s="89" t="s">
        <v>157</v>
      </c>
      <c r="C94" s="64" t="s">
        <v>158</v>
      </c>
      <c r="D94" s="28"/>
      <c r="E94" s="28"/>
      <c r="F94" s="29"/>
      <c r="G94" s="120" t="s">
        <v>254</v>
      </c>
      <c r="H94" s="116"/>
      <c r="I94" s="116"/>
      <c r="J94" s="117"/>
      <c r="K94" s="71"/>
      <c r="L94" s="7"/>
      <c r="M94" s="7"/>
      <c r="N94" s="8"/>
      <c r="O94" s="118"/>
      <c r="P94" s="7"/>
      <c r="Q94" s="8"/>
      <c r="R94" s="119" t="s">
        <v>255</v>
      </c>
      <c r="S94" s="8"/>
      <c r="T94" s="118"/>
      <c r="U94" s="8"/>
      <c r="V94" s="118"/>
      <c r="W94" s="8"/>
      <c r="X94" s="71"/>
      <c r="Y94" s="8"/>
    </row>
    <row r="95" ht="22.5" customHeight="1">
      <c r="A95" s="68">
        <v>2.0</v>
      </c>
      <c r="B95" s="89" t="s">
        <v>81</v>
      </c>
      <c r="C95" s="62" t="s">
        <v>159</v>
      </c>
      <c r="D95" s="28"/>
      <c r="E95" s="28"/>
      <c r="F95" s="29"/>
      <c r="G95" s="120" t="s">
        <v>263</v>
      </c>
      <c r="H95" s="116"/>
      <c r="I95" s="116"/>
      <c r="J95" s="117"/>
      <c r="K95" s="71"/>
      <c r="L95" s="7"/>
      <c r="M95" s="7"/>
      <c r="N95" s="8"/>
      <c r="O95" s="118"/>
      <c r="P95" s="7"/>
      <c r="Q95" s="8"/>
      <c r="R95" s="118"/>
      <c r="S95" s="8"/>
      <c r="T95" s="119" t="s">
        <v>255</v>
      </c>
      <c r="U95" s="8"/>
      <c r="V95" s="118"/>
      <c r="W95" s="8"/>
      <c r="X95" s="71"/>
      <c r="Y95" s="8"/>
    </row>
    <row r="96" ht="22.5" customHeight="1">
      <c r="A96" s="122">
        <v>3.0</v>
      </c>
      <c r="B96" s="91" t="s">
        <v>160</v>
      </c>
      <c r="C96" s="62" t="s">
        <v>161</v>
      </c>
      <c r="D96" s="28"/>
      <c r="E96" s="28"/>
      <c r="F96" s="29"/>
      <c r="G96" s="120" t="s">
        <v>256</v>
      </c>
      <c r="H96" s="116"/>
      <c r="I96" s="116"/>
      <c r="J96" s="117"/>
      <c r="K96" s="71"/>
      <c r="L96" s="7"/>
      <c r="M96" s="7"/>
      <c r="N96" s="8"/>
      <c r="O96" s="118"/>
      <c r="P96" s="7"/>
      <c r="Q96" s="8"/>
      <c r="R96" s="119"/>
      <c r="S96" s="8"/>
      <c r="T96" s="119" t="s">
        <v>255</v>
      </c>
      <c r="U96" s="8"/>
      <c r="V96" s="128"/>
      <c r="W96" s="8"/>
      <c r="X96" s="71"/>
      <c r="Y96" s="8"/>
    </row>
    <row r="97" ht="22.5" customHeight="1">
      <c r="A97" s="122">
        <v>4.0</v>
      </c>
      <c r="B97" s="89" t="s">
        <v>128</v>
      </c>
      <c r="C97" s="62" t="s">
        <v>162</v>
      </c>
      <c r="D97" s="28"/>
      <c r="E97" s="28"/>
      <c r="F97" s="29"/>
      <c r="G97" s="120" t="s">
        <v>261</v>
      </c>
      <c r="H97" s="116"/>
      <c r="I97" s="116"/>
      <c r="J97" s="117"/>
      <c r="K97" s="71"/>
      <c r="L97" s="7"/>
      <c r="M97" s="7"/>
      <c r="N97" s="8"/>
      <c r="O97" s="119" t="s">
        <v>258</v>
      </c>
      <c r="P97" s="7"/>
      <c r="Q97" s="8"/>
      <c r="R97" s="119"/>
      <c r="S97" s="8"/>
      <c r="T97" s="118"/>
      <c r="U97" s="8"/>
      <c r="V97" s="128"/>
      <c r="W97" s="8"/>
      <c r="X97" s="71"/>
      <c r="Y97" s="8"/>
    </row>
    <row r="98" ht="22.5" customHeight="1">
      <c r="A98" s="122">
        <v>5.0</v>
      </c>
      <c r="B98" s="89" t="s">
        <v>153</v>
      </c>
      <c r="C98" s="62" t="s">
        <v>163</v>
      </c>
      <c r="D98" s="28"/>
      <c r="E98" s="28"/>
      <c r="F98" s="29"/>
      <c r="G98" s="120" t="s">
        <v>265</v>
      </c>
      <c r="H98" s="116"/>
      <c r="I98" s="116"/>
      <c r="J98" s="117"/>
      <c r="K98" s="71"/>
      <c r="L98" s="7"/>
      <c r="M98" s="7"/>
      <c r="N98" s="8"/>
      <c r="O98" s="119" t="s">
        <v>258</v>
      </c>
      <c r="P98" s="7"/>
      <c r="Q98" s="8"/>
      <c r="R98" s="119"/>
      <c r="S98" s="8"/>
      <c r="T98" s="118"/>
      <c r="U98" s="8"/>
      <c r="V98" s="128"/>
      <c r="W98" s="8"/>
      <c r="X98" s="71"/>
      <c r="Y98" s="8"/>
    </row>
    <row r="99" ht="22.5" customHeight="1"/>
    <row r="100" ht="22.5" customHeight="1">
      <c r="A100" s="127">
        <v>11.0</v>
      </c>
      <c r="B100" s="41" t="s">
        <v>7</v>
      </c>
      <c r="C100" s="112" t="str">
        <f>B14</f>
        <v>tipo_producto</v>
      </c>
      <c r="D100" s="7"/>
      <c r="E100" s="7"/>
      <c r="F100" s="8"/>
      <c r="G100" s="46" t="s">
        <v>8</v>
      </c>
      <c r="H100" s="7"/>
      <c r="I100" s="7"/>
      <c r="J100" s="8"/>
      <c r="K100" s="113" t="str">
        <f>F14</f>
        <v>Los usuarios pueden postear productos para la venta y otros usuarios pueden comprar. El producto debe tener asociado un “Tipo de Producto”. Sigue el mismo formato de los servicios y tipos de servicio. Los ingresa el usuario participante.</v>
      </c>
      <c r="L100" s="7"/>
      <c r="M100" s="7"/>
      <c r="N100" s="7"/>
      <c r="O100" s="7"/>
      <c r="P100" s="7"/>
      <c r="Q100" s="7"/>
      <c r="R100" s="7"/>
      <c r="S100" s="7"/>
      <c r="T100" s="7"/>
      <c r="U100" s="7"/>
      <c r="V100" s="7"/>
      <c r="W100" s="8"/>
      <c r="X100" s="49" t="s">
        <v>76</v>
      </c>
      <c r="Y100" s="114">
        <v>1.0</v>
      </c>
    </row>
    <row r="101" ht="22.5" customHeight="1">
      <c r="A101" s="63" t="s">
        <v>5</v>
      </c>
      <c r="B101" s="49" t="s">
        <v>245</v>
      </c>
      <c r="C101" s="46" t="s">
        <v>246</v>
      </c>
      <c r="D101" s="7"/>
      <c r="E101" s="7"/>
      <c r="F101" s="8"/>
      <c r="G101" s="46" t="s">
        <v>247</v>
      </c>
      <c r="H101" s="7"/>
      <c r="I101" s="7"/>
      <c r="J101" s="8"/>
      <c r="K101" s="46" t="s">
        <v>250</v>
      </c>
      <c r="L101" s="7"/>
      <c r="M101" s="7"/>
      <c r="N101" s="8"/>
      <c r="O101" s="46" t="s">
        <v>251</v>
      </c>
      <c r="P101" s="7"/>
      <c r="Q101" s="8"/>
      <c r="R101" s="46" t="s">
        <v>101</v>
      </c>
      <c r="S101" s="8"/>
      <c r="T101" s="46" t="s">
        <v>104</v>
      </c>
      <c r="U101" s="8"/>
      <c r="V101" s="46" t="s">
        <v>109</v>
      </c>
      <c r="W101" s="8"/>
      <c r="X101" s="46" t="s">
        <v>253</v>
      </c>
      <c r="Y101" s="8"/>
    </row>
    <row r="102" ht="22.5" customHeight="1">
      <c r="A102" s="68">
        <v>1.0</v>
      </c>
      <c r="B102" s="89" t="s">
        <v>160</v>
      </c>
      <c r="C102" s="86" t="s">
        <v>161</v>
      </c>
      <c r="D102" s="7"/>
      <c r="E102" s="7"/>
      <c r="F102" s="8"/>
      <c r="G102" s="120" t="s">
        <v>254</v>
      </c>
      <c r="H102" s="116"/>
      <c r="I102" s="116"/>
      <c r="J102" s="117"/>
      <c r="K102" s="71"/>
      <c r="L102" s="7"/>
      <c r="M102" s="7"/>
      <c r="N102" s="8"/>
      <c r="O102" s="118"/>
      <c r="P102" s="7"/>
      <c r="Q102" s="8"/>
      <c r="R102" s="119" t="s">
        <v>255</v>
      </c>
      <c r="S102" s="8"/>
      <c r="T102" s="118"/>
      <c r="U102" s="8"/>
      <c r="V102" s="118"/>
      <c r="W102" s="8"/>
      <c r="X102" s="71"/>
      <c r="Y102" s="8"/>
    </row>
    <row r="103" ht="22.5" customHeight="1">
      <c r="A103" s="68">
        <v>2.0</v>
      </c>
      <c r="B103" s="89" t="s">
        <v>122</v>
      </c>
      <c r="C103" s="93" t="s">
        <v>165</v>
      </c>
      <c r="D103" s="28"/>
      <c r="E103" s="28"/>
      <c r="F103" s="29"/>
      <c r="G103" s="120" t="s">
        <v>256</v>
      </c>
      <c r="H103" s="116"/>
      <c r="I103" s="116"/>
      <c r="J103" s="117"/>
      <c r="K103" s="71"/>
      <c r="L103" s="7"/>
      <c r="M103" s="7"/>
      <c r="N103" s="8"/>
      <c r="O103" s="119"/>
      <c r="P103" s="7"/>
      <c r="Q103" s="8"/>
      <c r="R103" s="118"/>
      <c r="S103" s="8"/>
      <c r="T103" s="119" t="s">
        <v>255</v>
      </c>
      <c r="U103" s="8"/>
      <c r="V103" s="128"/>
      <c r="W103" s="8"/>
      <c r="X103" s="71"/>
      <c r="Y103" s="8"/>
    </row>
    <row r="104" ht="22.5" customHeight="1"/>
    <row r="105" ht="22.5" customHeight="1">
      <c r="A105" s="127">
        <v>12.0</v>
      </c>
      <c r="B105" s="41" t="s">
        <v>7</v>
      </c>
      <c r="C105" s="112" t="str">
        <f>B15</f>
        <v>evento</v>
      </c>
      <c r="D105" s="7"/>
      <c r="E105" s="7"/>
      <c r="F105" s="8"/>
      <c r="G105" s="46" t="s">
        <v>8</v>
      </c>
      <c r="H105" s="7"/>
      <c r="I105" s="7"/>
      <c r="J105" s="8"/>
      <c r="K105" s="113" t="str">
        <f>F15</f>
        <v>Al igual que los anteriores casos de servicio y productos, se cumple lo mismo. El usuario Administrador ingresa los tipos de evento. Sirve para clasificación y estadística. Los ingresa el Usuario con Rol de Administrador</v>
      </c>
      <c r="L105" s="7"/>
      <c r="M105" s="7"/>
      <c r="N105" s="7"/>
      <c r="O105" s="7"/>
      <c r="P105" s="7"/>
      <c r="Q105" s="7"/>
      <c r="R105" s="7"/>
      <c r="S105" s="7"/>
      <c r="T105" s="7"/>
      <c r="U105" s="7"/>
      <c r="V105" s="7"/>
      <c r="W105" s="8"/>
      <c r="X105" s="49" t="s">
        <v>76</v>
      </c>
      <c r="Y105" s="114">
        <v>1.0</v>
      </c>
    </row>
    <row r="106" ht="22.5" customHeight="1">
      <c r="A106" s="63" t="s">
        <v>5</v>
      </c>
      <c r="B106" s="49" t="s">
        <v>245</v>
      </c>
      <c r="C106" s="46" t="s">
        <v>246</v>
      </c>
      <c r="D106" s="7"/>
      <c r="E106" s="7"/>
      <c r="F106" s="8"/>
      <c r="G106" s="46" t="s">
        <v>247</v>
      </c>
      <c r="H106" s="7"/>
      <c r="I106" s="7"/>
      <c r="J106" s="8"/>
      <c r="K106" s="46" t="s">
        <v>250</v>
      </c>
      <c r="L106" s="7"/>
      <c r="M106" s="7"/>
      <c r="N106" s="8"/>
      <c r="O106" s="46" t="s">
        <v>251</v>
      </c>
      <c r="P106" s="7"/>
      <c r="Q106" s="8"/>
      <c r="R106" s="46" t="s">
        <v>101</v>
      </c>
      <c r="S106" s="8"/>
      <c r="T106" s="46" t="s">
        <v>104</v>
      </c>
      <c r="U106" s="8"/>
      <c r="V106" s="46" t="s">
        <v>109</v>
      </c>
      <c r="W106" s="8"/>
      <c r="X106" s="46" t="s">
        <v>253</v>
      </c>
      <c r="Y106" s="8"/>
    </row>
    <row r="107" ht="22.5" customHeight="1">
      <c r="A107" s="68">
        <v>1.0</v>
      </c>
      <c r="B107" s="91" t="s">
        <v>167</v>
      </c>
      <c r="C107" s="62" t="s">
        <v>168</v>
      </c>
      <c r="D107" s="28"/>
      <c r="E107" s="28"/>
      <c r="F107" s="29"/>
      <c r="G107" s="120" t="s">
        <v>254</v>
      </c>
      <c r="H107" s="116"/>
      <c r="I107" s="116"/>
      <c r="J107" s="117"/>
      <c r="K107" s="71"/>
      <c r="L107" s="7"/>
      <c r="M107" s="7"/>
      <c r="N107" s="8"/>
      <c r="O107" s="118"/>
      <c r="P107" s="7"/>
      <c r="Q107" s="8"/>
      <c r="R107" s="119" t="s">
        <v>255</v>
      </c>
      <c r="S107" s="8"/>
      <c r="T107" s="118"/>
      <c r="U107" s="8"/>
      <c r="V107" s="118"/>
      <c r="W107" s="8"/>
      <c r="X107" s="71"/>
      <c r="Y107" s="8"/>
    </row>
    <row r="108" ht="22.5" customHeight="1">
      <c r="A108" s="68">
        <v>2.0</v>
      </c>
      <c r="B108" s="89" t="s">
        <v>169</v>
      </c>
      <c r="C108" s="62" t="s">
        <v>170</v>
      </c>
      <c r="D108" s="28"/>
      <c r="E108" s="28"/>
      <c r="F108" s="29"/>
      <c r="G108" s="120" t="s">
        <v>263</v>
      </c>
      <c r="H108" s="116"/>
      <c r="I108" s="116"/>
      <c r="J108" s="117"/>
      <c r="K108" s="71"/>
      <c r="L108" s="7"/>
      <c r="M108" s="7"/>
      <c r="N108" s="8"/>
      <c r="O108" s="118"/>
      <c r="P108" s="7"/>
      <c r="Q108" s="8"/>
      <c r="R108" s="118"/>
      <c r="S108" s="8"/>
      <c r="T108" s="119" t="s">
        <v>255</v>
      </c>
      <c r="U108" s="8"/>
      <c r="V108" s="118"/>
      <c r="W108" s="8"/>
      <c r="X108" s="71"/>
      <c r="Y108" s="8"/>
    </row>
    <row r="109" ht="22.5" customHeight="1">
      <c r="A109" s="122">
        <v>3.0</v>
      </c>
      <c r="B109" s="89" t="s">
        <v>81</v>
      </c>
      <c r="C109" s="62" t="s">
        <v>171</v>
      </c>
      <c r="D109" s="28"/>
      <c r="E109" s="28"/>
      <c r="F109" s="29"/>
      <c r="G109" s="120" t="s">
        <v>256</v>
      </c>
      <c r="H109" s="116"/>
      <c r="I109" s="116"/>
      <c r="J109" s="117"/>
      <c r="K109" s="71"/>
      <c r="L109" s="7"/>
      <c r="M109" s="7"/>
      <c r="N109" s="8"/>
      <c r="O109" s="118"/>
      <c r="P109" s="7"/>
      <c r="Q109" s="8"/>
      <c r="R109" s="119"/>
      <c r="S109" s="8"/>
      <c r="T109" s="119" t="s">
        <v>255</v>
      </c>
      <c r="U109" s="8"/>
      <c r="V109" s="128"/>
      <c r="W109" s="8"/>
      <c r="X109" s="71"/>
      <c r="Y109" s="8"/>
    </row>
    <row r="110" ht="22.5" customHeight="1">
      <c r="A110" s="122">
        <v>4.0</v>
      </c>
      <c r="B110" s="91" t="s">
        <v>128</v>
      </c>
      <c r="C110" s="62" t="s">
        <v>172</v>
      </c>
      <c r="D110" s="28"/>
      <c r="E110" s="28"/>
      <c r="F110" s="29"/>
      <c r="G110" s="120" t="s">
        <v>261</v>
      </c>
      <c r="H110" s="116"/>
      <c r="I110" s="116"/>
      <c r="J110" s="117"/>
      <c r="K110" s="71"/>
      <c r="L110" s="7"/>
      <c r="M110" s="7"/>
      <c r="N110" s="8"/>
      <c r="O110" s="119" t="s">
        <v>258</v>
      </c>
      <c r="P110" s="7"/>
      <c r="Q110" s="8"/>
      <c r="R110" s="119"/>
      <c r="S110" s="8"/>
      <c r="T110" s="118"/>
      <c r="U110" s="8"/>
      <c r="V110" s="128"/>
      <c r="W110" s="8"/>
      <c r="X110" s="71"/>
      <c r="Y110" s="8"/>
    </row>
    <row r="111" ht="22.5" customHeight="1">
      <c r="A111" s="122">
        <v>5.0</v>
      </c>
      <c r="B111" s="91" t="s">
        <v>135</v>
      </c>
      <c r="C111" s="62" t="s">
        <v>173</v>
      </c>
      <c r="D111" s="28"/>
      <c r="E111" s="28"/>
      <c r="F111" s="29"/>
      <c r="G111" s="129" t="s">
        <v>262</v>
      </c>
      <c r="H111" s="116"/>
      <c r="I111" s="116"/>
      <c r="J111" s="117"/>
      <c r="K111" s="71"/>
      <c r="L111" s="7"/>
      <c r="M111" s="7"/>
      <c r="N111" s="8"/>
      <c r="O111" s="119" t="s">
        <v>258</v>
      </c>
      <c r="P111" s="7"/>
      <c r="Q111" s="8"/>
      <c r="R111" s="119"/>
      <c r="S111" s="8"/>
      <c r="T111" s="118"/>
      <c r="U111" s="8"/>
      <c r="V111" s="128"/>
      <c r="W111" s="8"/>
      <c r="X111" s="71"/>
      <c r="Y111" s="8"/>
    </row>
    <row r="112" ht="22.5" customHeight="1"/>
    <row r="113" ht="22.5" customHeight="1">
      <c r="A113" s="127">
        <v>13.0</v>
      </c>
      <c r="B113" s="41" t="s">
        <v>7</v>
      </c>
      <c r="C113" s="112" t="str">
        <f>B16</f>
        <v>tipo_evento</v>
      </c>
      <c r="D113" s="7"/>
      <c r="E113" s="7"/>
      <c r="F113" s="8"/>
      <c r="G113" s="46" t="s">
        <v>8</v>
      </c>
      <c r="H113" s="7"/>
      <c r="I113" s="7"/>
      <c r="J113" s="8"/>
      <c r="K113" s="113" t="str">
        <f>F16</f>
        <v>Los eventos pueden ser reuniones de estudio, talleres, actividades sociales, concursos de empleo, conferencias de los docentes, entre otros. El evento debe tener asociado un tipo de evento. El usuario que publica el evento es diferente a los usuarios que participan en el mismo. Los ingresa el usuario participante.</v>
      </c>
      <c r="L113" s="7"/>
      <c r="M113" s="7"/>
      <c r="N113" s="7"/>
      <c r="O113" s="7"/>
      <c r="P113" s="7"/>
      <c r="Q113" s="7"/>
      <c r="R113" s="7"/>
      <c r="S113" s="7"/>
      <c r="T113" s="7"/>
      <c r="U113" s="7"/>
      <c r="V113" s="7"/>
      <c r="W113" s="8"/>
      <c r="X113" s="49" t="s">
        <v>76</v>
      </c>
      <c r="Y113" s="114">
        <v>1.0</v>
      </c>
    </row>
    <row r="114" ht="22.5" customHeight="1">
      <c r="A114" s="63" t="s">
        <v>5</v>
      </c>
      <c r="B114" s="49" t="s">
        <v>245</v>
      </c>
      <c r="C114" s="46" t="s">
        <v>72</v>
      </c>
      <c r="D114" s="7"/>
      <c r="E114" s="7"/>
      <c r="F114" s="8"/>
      <c r="G114" s="46" t="s">
        <v>247</v>
      </c>
      <c r="H114" s="7"/>
      <c r="I114" s="7"/>
      <c r="J114" s="8"/>
      <c r="K114" s="46" t="s">
        <v>250</v>
      </c>
      <c r="L114" s="7"/>
      <c r="M114" s="7"/>
      <c r="N114" s="8"/>
      <c r="O114" s="46" t="s">
        <v>251</v>
      </c>
      <c r="P114" s="7"/>
      <c r="Q114" s="8"/>
      <c r="R114" s="46" t="s">
        <v>101</v>
      </c>
      <c r="S114" s="8"/>
      <c r="T114" s="46" t="s">
        <v>104</v>
      </c>
      <c r="U114" s="8"/>
      <c r="V114" s="46" t="s">
        <v>109</v>
      </c>
      <c r="W114" s="8"/>
      <c r="X114" s="46" t="s">
        <v>253</v>
      </c>
      <c r="Y114" s="8"/>
    </row>
    <row r="115" ht="22.5" customHeight="1">
      <c r="A115" s="68">
        <v>1.0</v>
      </c>
      <c r="B115" s="89" t="s">
        <v>169</v>
      </c>
      <c r="C115" s="90" t="s">
        <v>170</v>
      </c>
      <c r="D115" s="7"/>
      <c r="E115" s="7"/>
      <c r="F115" s="8"/>
      <c r="G115" s="120" t="s">
        <v>254</v>
      </c>
      <c r="H115" s="116"/>
      <c r="I115" s="116"/>
      <c r="J115" s="117"/>
      <c r="K115" s="71"/>
      <c r="L115" s="7"/>
      <c r="M115" s="7"/>
      <c r="N115" s="8"/>
      <c r="O115" s="118"/>
      <c r="P115" s="7"/>
      <c r="Q115" s="8"/>
      <c r="R115" s="119" t="s">
        <v>255</v>
      </c>
      <c r="S115" s="8"/>
      <c r="T115" s="118"/>
      <c r="U115" s="8"/>
      <c r="V115" s="118"/>
      <c r="W115" s="8"/>
      <c r="X115" s="71"/>
      <c r="Y115" s="8"/>
    </row>
    <row r="116" ht="22.5" customHeight="1">
      <c r="A116" s="68">
        <v>2.0</v>
      </c>
      <c r="B116" s="89" t="s">
        <v>122</v>
      </c>
      <c r="C116" s="90" t="s">
        <v>174</v>
      </c>
      <c r="D116" s="7"/>
      <c r="E116" s="7"/>
      <c r="F116" s="8"/>
      <c r="G116" s="120" t="s">
        <v>256</v>
      </c>
      <c r="H116" s="116"/>
      <c r="I116" s="116"/>
      <c r="J116" s="117"/>
      <c r="K116" s="71"/>
      <c r="L116" s="7"/>
      <c r="M116" s="7"/>
      <c r="N116" s="8"/>
      <c r="O116" s="119"/>
      <c r="P116" s="7"/>
      <c r="Q116" s="8"/>
      <c r="R116" s="118"/>
      <c r="S116" s="8"/>
      <c r="T116" s="119" t="s">
        <v>255</v>
      </c>
      <c r="U116" s="8"/>
      <c r="V116" s="128"/>
      <c r="W116" s="8"/>
      <c r="X116" s="71"/>
      <c r="Y116" s="8"/>
    </row>
    <row r="117" ht="22.5" customHeight="1"/>
    <row r="118" ht="22.5" customHeight="1">
      <c r="A118" s="127">
        <v>14.0</v>
      </c>
      <c r="B118" s="41" t="s">
        <v>7</v>
      </c>
      <c r="C118" s="112" t="str">
        <f>B17</f>
        <v>notificacion</v>
      </c>
      <c r="D118" s="7"/>
      <c r="E118" s="7"/>
      <c r="F118" s="8"/>
      <c r="G118" s="46" t="s">
        <v>8</v>
      </c>
      <c r="H118" s="7"/>
      <c r="I118" s="7"/>
      <c r="J118" s="8"/>
      <c r="K118" s="113" t="str">
        <f>F17</f>
        <v>Permite avisar a los usuarios sobre nuevas publicaciones, comentarios, eventos o servicios.</v>
      </c>
      <c r="L118" s="7"/>
      <c r="M118" s="7"/>
      <c r="N118" s="7"/>
      <c r="O118" s="7"/>
      <c r="P118" s="7"/>
      <c r="Q118" s="7"/>
      <c r="R118" s="7"/>
      <c r="S118" s="7"/>
      <c r="T118" s="7"/>
      <c r="U118" s="7"/>
      <c r="V118" s="7"/>
      <c r="W118" s="8"/>
      <c r="X118" s="49" t="s">
        <v>76</v>
      </c>
      <c r="Y118" s="114">
        <v>1.0</v>
      </c>
    </row>
    <row r="119" ht="22.5" customHeight="1">
      <c r="A119" s="63" t="s">
        <v>5</v>
      </c>
      <c r="B119" s="49" t="s">
        <v>245</v>
      </c>
      <c r="C119" s="46" t="s">
        <v>246</v>
      </c>
      <c r="D119" s="7"/>
      <c r="E119" s="7"/>
      <c r="F119" s="8"/>
      <c r="G119" s="46" t="s">
        <v>247</v>
      </c>
      <c r="H119" s="7"/>
      <c r="I119" s="7"/>
      <c r="J119" s="8"/>
      <c r="K119" s="46" t="s">
        <v>250</v>
      </c>
      <c r="L119" s="7"/>
      <c r="M119" s="7"/>
      <c r="N119" s="8"/>
      <c r="O119" s="46" t="s">
        <v>251</v>
      </c>
      <c r="P119" s="7"/>
      <c r="Q119" s="8"/>
      <c r="R119" s="46" t="s">
        <v>101</v>
      </c>
      <c r="S119" s="8"/>
      <c r="T119" s="46" t="s">
        <v>104</v>
      </c>
      <c r="U119" s="8"/>
      <c r="V119" s="46" t="s">
        <v>109</v>
      </c>
      <c r="W119" s="8"/>
      <c r="X119" s="46" t="s">
        <v>253</v>
      </c>
      <c r="Y119" s="8"/>
    </row>
    <row r="120" ht="22.5" customHeight="1">
      <c r="A120" s="68">
        <v>1.0</v>
      </c>
      <c r="B120" s="91" t="s">
        <v>175</v>
      </c>
      <c r="C120" s="64" t="s">
        <v>176</v>
      </c>
      <c r="D120" s="28"/>
      <c r="E120" s="28"/>
      <c r="F120" s="29"/>
      <c r="G120" s="120" t="s">
        <v>254</v>
      </c>
      <c r="H120" s="116"/>
      <c r="I120" s="116"/>
      <c r="J120" s="117"/>
      <c r="K120" s="71"/>
      <c r="L120" s="7"/>
      <c r="M120" s="7"/>
      <c r="N120" s="8"/>
      <c r="O120" s="118"/>
      <c r="P120" s="7"/>
      <c r="Q120" s="8"/>
      <c r="R120" s="119" t="s">
        <v>255</v>
      </c>
      <c r="S120" s="8"/>
      <c r="T120" s="118"/>
      <c r="U120" s="8"/>
      <c r="V120" s="118"/>
      <c r="W120" s="8"/>
      <c r="X120" s="71"/>
      <c r="Y120" s="8"/>
    </row>
    <row r="121" ht="22.5" customHeight="1">
      <c r="A121" s="68">
        <v>2.0</v>
      </c>
      <c r="B121" s="54" t="s">
        <v>81</v>
      </c>
      <c r="C121" s="62" t="s">
        <v>177</v>
      </c>
      <c r="D121" s="28"/>
      <c r="E121" s="28"/>
      <c r="F121" s="29"/>
      <c r="G121" s="120" t="s">
        <v>256</v>
      </c>
      <c r="H121" s="116"/>
      <c r="I121" s="116"/>
      <c r="J121" s="117"/>
      <c r="K121" s="71"/>
      <c r="L121" s="7"/>
      <c r="M121" s="7"/>
      <c r="N121" s="8"/>
      <c r="O121" s="118"/>
      <c r="P121" s="7"/>
      <c r="Q121" s="8"/>
      <c r="R121" s="118"/>
      <c r="S121" s="8"/>
      <c r="T121" s="119" t="s">
        <v>255</v>
      </c>
      <c r="U121" s="8"/>
      <c r="V121" s="118"/>
      <c r="W121" s="8"/>
      <c r="X121" s="71"/>
      <c r="Y121" s="8"/>
    </row>
    <row r="122" ht="22.5" customHeight="1">
      <c r="A122" s="122">
        <v>3.0</v>
      </c>
      <c r="B122" s="89" t="s">
        <v>178</v>
      </c>
      <c r="C122" s="62" t="s">
        <v>179</v>
      </c>
      <c r="D122" s="28"/>
      <c r="E122" s="28"/>
      <c r="F122" s="29"/>
      <c r="G122" s="120" t="s">
        <v>261</v>
      </c>
      <c r="H122" s="116"/>
      <c r="I122" s="116"/>
      <c r="J122" s="117"/>
      <c r="K122" s="71"/>
      <c r="L122" s="7"/>
      <c r="M122" s="7"/>
      <c r="N122" s="8"/>
      <c r="O122" s="119" t="s">
        <v>258</v>
      </c>
      <c r="P122" s="7"/>
      <c r="Q122" s="8"/>
      <c r="R122" s="119"/>
      <c r="S122" s="8"/>
      <c r="T122" s="118"/>
      <c r="U122" s="8"/>
      <c r="V122" s="128"/>
      <c r="W122" s="8"/>
      <c r="X122" s="71"/>
      <c r="Y122" s="8"/>
    </row>
    <row r="123" ht="22.5" customHeight="1">
      <c r="A123" s="122">
        <v>4.0</v>
      </c>
      <c r="B123" s="54" t="s">
        <v>135</v>
      </c>
      <c r="C123" s="62" t="s">
        <v>180</v>
      </c>
      <c r="D123" s="28"/>
      <c r="E123" s="28"/>
      <c r="F123" s="29"/>
      <c r="G123" s="129" t="s">
        <v>262</v>
      </c>
      <c r="H123" s="116"/>
      <c r="I123" s="116"/>
      <c r="J123" s="117"/>
      <c r="K123" s="71"/>
      <c r="L123" s="7"/>
      <c r="M123" s="7"/>
      <c r="N123" s="8"/>
      <c r="O123" s="119" t="s">
        <v>258</v>
      </c>
      <c r="P123" s="7"/>
      <c r="Q123" s="8"/>
      <c r="R123" s="119"/>
      <c r="S123" s="8"/>
      <c r="T123" s="118"/>
      <c r="U123" s="8"/>
      <c r="V123" s="128"/>
      <c r="W123" s="8"/>
      <c r="X123" s="71"/>
      <c r="Y123" s="8"/>
    </row>
    <row r="124" ht="22.5" customHeight="1"/>
    <row r="125" ht="22.5" customHeight="1">
      <c r="A125" s="127">
        <v>15.0</v>
      </c>
      <c r="B125" s="41" t="s">
        <v>7</v>
      </c>
      <c r="C125" s="112" t="str">
        <f>B18</f>
        <v>reaccion</v>
      </c>
      <c r="D125" s="7"/>
      <c r="E125" s="7"/>
      <c r="F125" s="8"/>
      <c r="G125" s="46" t="s">
        <v>8</v>
      </c>
      <c r="H125" s="7"/>
      <c r="I125" s="7"/>
      <c r="J125" s="8"/>
      <c r="K125" s="113" t="str">
        <f>F18</f>
        <v>Permite avisar a los usuarios sobre nuevas publicaciones, comentarios, eventos o servicios.</v>
      </c>
      <c r="L125" s="7"/>
      <c r="M125" s="7"/>
      <c r="N125" s="7"/>
      <c r="O125" s="7"/>
      <c r="P125" s="7"/>
      <c r="Q125" s="7"/>
      <c r="R125" s="7"/>
      <c r="S125" s="7"/>
      <c r="T125" s="7"/>
      <c r="U125" s="7"/>
      <c r="V125" s="7"/>
      <c r="W125" s="8"/>
      <c r="X125" s="49" t="s">
        <v>76</v>
      </c>
      <c r="Y125" s="114">
        <v>1.0</v>
      </c>
    </row>
    <row r="126" ht="22.5" customHeight="1">
      <c r="A126" s="63" t="s">
        <v>5</v>
      </c>
      <c r="B126" s="49" t="s">
        <v>245</v>
      </c>
      <c r="C126" s="46" t="s">
        <v>246</v>
      </c>
      <c r="D126" s="7"/>
      <c r="E126" s="7"/>
      <c r="F126" s="8"/>
      <c r="G126" s="46" t="s">
        <v>247</v>
      </c>
      <c r="H126" s="7"/>
      <c r="I126" s="7"/>
      <c r="J126" s="8"/>
      <c r="K126" s="46" t="s">
        <v>250</v>
      </c>
      <c r="L126" s="7"/>
      <c r="M126" s="7"/>
      <c r="N126" s="8"/>
      <c r="O126" s="46" t="s">
        <v>251</v>
      </c>
      <c r="P126" s="7"/>
      <c r="Q126" s="8"/>
      <c r="R126" s="46" t="s">
        <v>101</v>
      </c>
      <c r="S126" s="8"/>
      <c r="T126" s="46" t="s">
        <v>104</v>
      </c>
      <c r="U126" s="8"/>
      <c r="V126" s="46" t="s">
        <v>109</v>
      </c>
      <c r="W126" s="8"/>
      <c r="X126" s="46" t="s">
        <v>253</v>
      </c>
      <c r="Y126" s="8"/>
    </row>
    <row r="127" ht="22.5" customHeight="1">
      <c r="A127" s="68">
        <v>1.0</v>
      </c>
      <c r="B127" s="89" t="s">
        <v>181</v>
      </c>
      <c r="C127" s="90" t="s">
        <v>182</v>
      </c>
      <c r="D127" s="7"/>
      <c r="E127" s="7"/>
      <c r="F127" s="8"/>
      <c r="G127" s="120" t="s">
        <v>254</v>
      </c>
      <c r="H127" s="116"/>
      <c r="I127" s="116"/>
      <c r="J127" s="117"/>
      <c r="K127" s="71"/>
      <c r="L127" s="7"/>
      <c r="M127" s="7"/>
      <c r="N127" s="8"/>
      <c r="O127" s="118"/>
      <c r="P127" s="7"/>
      <c r="Q127" s="8"/>
      <c r="R127" s="119" t="s">
        <v>255</v>
      </c>
      <c r="S127" s="8"/>
      <c r="T127" s="118"/>
      <c r="U127" s="8"/>
      <c r="V127" s="118"/>
      <c r="W127" s="8"/>
      <c r="X127" s="71"/>
      <c r="Y127" s="8"/>
    </row>
    <row r="128" ht="22.5" customHeight="1">
      <c r="A128" s="68">
        <v>2.0</v>
      </c>
      <c r="B128" s="89" t="s">
        <v>81</v>
      </c>
      <c r="C128" s="90" t="s">
        <v>183</v>
      </c>
      <c r="D128" s="7"/>
      <c r="E128" s="7"/>
      <c r="F128" s="8"/>
      <c r="G128" s="120" t="s">
        <v>263</v>
      </c>
      <c r="H128" s="116"/>
      <c r="I128" s="116"/>
      <c r="J128" s="117"/>
      <c r="K128" s="71"/>
      <c r="L128" s="7"/>
      <c r="M128" s="7"/>
      <c r="N128" s="8"/>
      <c r="O128" s="118"/>
      <c r="P128" s="7"/>
      <c r="Q128" s="8"/>
      <c r="R128" s="118"/>
      <c r="S128" s="8"/>
      <c r="T128" s="119" t="s">
        <v>255</v>
      </c>
      <c r="U128" s="8"/>
      <c r="V128" s="118"/>
      <c r="W128" s="8"/>
      <c r="X128" s="71"/>
      <c r="Y128" s="8"/>
    </row>
    <row r="129" ht="22.5" customHeight="1">
      <c r="A129" s="122">
        <v>3.0</v>
      </c>
      <c r="B129" s="89" t="s">
        <v>130</v>
      </c>
      <c r="C129" s="90" t="s">
        <v>184</v>
      </c>
      <c r="D129" s="7"/>
      <c r="E129" s="7"/>
      <c r="F129" s="8"/>
      <c r="G129" s="120" t="s">
        <v>256</v>
      </c>
      <c r="H129" s="116"/>
      <c r="I129" s="116"/>
      <c r="J129" s="117"/>
      <c r="K129" s="71"/>
      <c r="L129" s="7"/>
      <c r="M129" s="7"/>
      <c r="N129" s="8"/>
      <c r="O129" s="118"/>
      <c r="P129" s="7"/>
      <c r="Q129" s="8"/>
      <c r="R129" s="119"/>
      <c r="S129" s="8"/>
      <c r="T129" s="119" t="s">
        <v>255</v>
      </c>
      <c r="U129" s="8"/>
      <c r="V129" s="128"/>
      <c r="W129" s="8"/>
      <c r="X129" s="71"/>
      <c r="Y129" s="8"/>
    </row>
    <row r="130" ht="22.5" customHeight="1">
      <c r="A130" s="122">
        <v>4.0</v>
      </c>
      <c r="B130" s="89" t="s">
        <v>137</v>
      </c>
      <c r="C130" s="90" t="s">
        <v>185</v>
      </c>
      <c r="D130" s="7"/>
      <c r="E130" s="7"/>
      <c r="F130" s="8"/>
      <c r="G130" s="120" t="s">
        <v>256</v>
      </c>
      <c r="H130" s="116"/>
      <c r="I130" s="116"/>
      <c r="J130" s="117"/>
      <c r="K130" s="71"/>
      <c r="L130" s="7"/>
      <c r="M130" s="7"/>
      <c r="N130" s="8"/>
      <c r="O130" s="119"/>
      <c r="P130" s="7"/>
      <c r="Q130" s="8"/>
      <c r="R130" s="119"/>
      <c r="S130" s="8"/>
      <c r="T130" s="119" t="s">
        <v>255</v>
      </c>
      <c r="U130" s="8"/>
      <c r="V130" s="128"/>
      <c r="W130" s="8"/>
      <c r="X130" s="71"/>
      <c r="Y130" s="8"/>
    </row>
    <row r="131" ht="22.5" customHeight="1">
      <c r="A131" s="122">
        <v>5.0</v>
      </c>
      <c r="B131" s="103" t="s">
        <v>186</v>
      </c>
      <c r="C131" s="104" t="s">
        <v>260</v>
      </c>
      <c r="D131" s="7"/>
      <c r="E131" s="7"/>
      <c r="F131" s="8"/>
      <c r="G131" s="120" t="s">
        <v>257</v>
      </c>
      <c r="H131" s="116"/>
      <c r="I131" s="116"/>
      <c r="J131" s="117"/>
      <c r="K131" s="71"/>
      <c r="L131" s="7"/>
      <c r="M131" s="7"/>
      <c r="N131" s="8"/>
      <c r="O131" s="119" t="s">
        <v>258</v>
      </c>
      <c r="P131" s="7"/>
      <c r="Q131" s="8"/>
      <c r="R131" s="119"/>
      <c r="S131" s="8"/>
      <c r="T131" s="118"/>
      <c r="U131" s="8"/>
      <c r="V131" s="128"/>
      <c r="W131" s="8"/>
      <c r="X131" s="71"/>
      <c r="Y131" s="8"/>
    </row>
    <row r="132" ht="22.5" customHeight="1">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row>
    <row r="133" ht="22.5" customHeight="1">
      <c r="A133" s="127">
        <v>16.0</v>
      </c>
      <c r="B133" s="41" t="s">
        <v>7</v>
      </c>
      <c r="C133" s="112" t="str">
        <f>B19</f>
        <v>mensaje_privado</v>
      </c>
      <c r="D133" s="7"/>
      <c r="E133" s="7"/>
      <c r="F133" s="8"/>
      <c r="G133" s="46" t="s">
        <v>8</v>
      </c>
      <c r="H133" s="7"/>
      <c r="I133" s="7"/>
      <c r="J133" s="8"/>
      <c r="K133" s="113" t="str">
        <f>F19</f>
        <v>Comunicación directa entre dos usuarios dentro de la red.</v>
      </c>
      <c r="L133" s="7"/>
      <c r="M133" s="7"/>
      <c r="N133" s="7"/>
      <c r="O133" s="7"/>
      <c r="P133" s="7"/>
      <c r="Q133" s="7"/>
      <c r="R133" s="7"/>
      <c r="S133" s="7"/>
      <c r="T133" s="7"/>
      <c r="U133" s="7"/>
      <c r="V133" s="7"/>
      <c r="W133" s="8"/>
      <c r="X133" s="49" t="s">
        <v>76</v>
      </c>
      <c r="Y133" s="114">
        <v>1.0</v>
      </c>
    </row>
    <row r="134" ht="22.5" customHeight="1">
      <c r="A134" s="63" t="s">
        <v>5</v>
      </c>
      <c r="B134" s="49" t="s">
        <v>245</v>
      </c>
      <c r="C134" s="46" t="s">
        <v>246</v>
      </c>
      <c r="D134" s="7"/>
      <c r="E134" s="7"/>
      <c r="F134" s="8"/>
      <c r="G134" s="46" t="s">
        <v>247</v>
      </c>
      <c r="H134" s="7"/>
      <c r="I134" s="7"/>
      <c r="J134" s="8"/>
      <c r="K134" s="46" t="s">
        <v>250</v>
      </c>
      <c r="L134" s="7"/>
      <c r="M134" s="7"/>
      <c r="N134" s="8"/>
      <c r="O134" s="46" t="s">
        <v>251</v>
      </c>
      <c r="P134" s="7"/>
      <c r="Q134" s="8"/>
      <c r="R134" s="46" t="s">
        <v>101</v>
      </c>
      <c r="S134" s="8"/>
      <c r="T134" s="46" t="s">
        <v>104</v>
      </c>
      <c r="U134" s="8"/>
      <c r="V134" s="46" t="s">
        <v>109</v>
      </c>
      <c r="W134" s="8"/>
      <c r="X134" s="46" t="s">
        <v>253</v>
      </c>
      <c r="Y134" s="8"/>
    </row>
    <row r="135" ht="22.5" customHeight="1">
      <c r="A135" s="68">
        <v>1.0</v>
      </c>
      <c r="B135" s="54" t="s">
        <v>188</v>
      </c>
      <c r="C135" s="70" t="s">
        <v>189</v>
      </c>
      <c r="D135" s="7"/>
      <c r="E135" s="7"/>
      <c r="F135" s="8"/>
      <c r="G135" s="120" t="s">
        <v>254</v>
      </c>
      <c r="H135" s="116"/>
      <c r="I135" s="116"/>
      <c r="J135" s="117"/>
      <c r="K135" s="71"/>
      <c r="L135" s="7"/>
      <c r="M135" s="7"/>
      <c r="N135" s="8"/>
      <c r="O135" s="118"/>
      <c r="P135" s="7"/>
      <c r="Q135" s="8"/>
      <c r="R135" s="119" t="s">
        <v>255</v>
      </c>
      <c r="S135" s="8"/>
      <c r="T135" s="118"/>
      <c r="U135" s="8"/>
      <c r="V135" s="118"/>
      <c r="W135" s="8"/>
      <c r="X135" s="71"/>
      <c r="Y135" s="8"/>
    </row>
    <row r="136" ht="22.5" customHeight="1">
      <c r="A136" s="68">
        <v>2.0</v>
      </c>
      <c r="B136" s="54" t="s">
        <v>133</v>
      </c>
      <c r="C136" s="70" t="s">
        <v>190</v>
      </c>
      <c r="D136" s="7"/>
      <c r="E136" s="7"/>
      <c r="F136" s="8"/>
      <c r="G136" s="120" t="s">
        <v>257</v>
      </c>
      <c r="H136" s="116"/>
      <c r="I136" s="116"/>
      <c r="J136" s="117"/>
      <c r="K136" s="71"/>
      <c r="L136" s="7"/>
      <c r="M136" s="7"/>
      <c r="N136" s="8"/>
      <c r="O136" s="119" t="s">
        <v>258</v>
      </c>
      <c r="P136" s="7"/>
      <c r="Q136" s="8"/>
      <c r="R136" s="118"/>
      <c r="S136" s="8"/>
      <c r="T136" s="119"/>
      <c r="U136" s="8"/>
      <c r="V136" s="118"/>
      <c r="W136" s="8"/>
      <c r="X136" s="71"/>
      <c r="Y136" s="8"/>
    </row>
    <row r="137" ht="22.5" customHeight="1">
      <c r="A137" s="122">
        <v>3.0</v>
      </c>
      <c r="B137" s="54" t="s">
        <v>135</v>
      </c>
      <c r="C137" s="70" t="s">
        <v>191</v>
      </c>
      <c r="D137" s="7"/>
      <c r="E137" s="7"/>
      <c r="F137" s="8"/>
      <c r="G137" s="129" t="s">
        <v>262</v>
      </c>
      <c r="H137" s="116"/>
      <c r="I137" s="116"/>
      <c r="J137" s="117"/>
      <c r="K137" s="71"/>
      <c r="L137" s="7"/>
      <c r="M137" s="7"/>
      <c r="N137" s="8"/>
      <c r="O137" s="119" t="s">
        <v>258</v>
      </c>
      <c r="P137" s="7"/>
      <c r="Q137" s="8"/>
      <c r="R137" s="119"/>
      <c r="S137" s="8"/>
      <c r="T137" s="119"/>
      <c r="U137" s="8"/>
      <c r="V137" s="128"/>
      <c r="W137" s="8"/>
      <c r="X137" s="71"/>
      <c r="Y137" s="8"/>
    </row>
    <row r="138" ht="22.5" customHeight="1">
      <c r="A138" s="122">
        <v>4.0</v>
      </c>
      <c r="B138" s="54" t="s">
        <v>192</v>
      </c>
      <c r="C138" s="70" t="s">
        <v>193</v>
      </c>
      <c r="D138" s="7"/>
      <c r="E138" s="7"/>
      <c r="F138" s="8"/>
      <c r="G138" s="120" t="s">
        <v>256</v>
      </c>
      <c r="H138" s="116"/>
      <c r="I138" s="116"/>
      <c r="J138" s="117"/>
      <c r="K138" s="71"/>
      <c r="L138" s="7"/>
      <c r="M138" s="7"/>
      <c r="N138" s="8"/>
      <c r="O138" s="119"/>
      <c r="P138" s="7"/>
      <c r="Q138" s="8"/>
      <c r="R138" s="119"/>
      <c r="S138" s="8"/>
      <c r="T138" s="119" t="s">
        <v>255</v>
      </c>
      <c r="U138" s="8"/>
      <c r="V138" s="128"/>
      <c r="W138" s="8"/>
      <c r="X138" s="71"/>
      <c r="Y138" s="8"/>
    </row>
    <row r="139" ht="22.5" customHeight="1">
      <c r="A139" s="122">
        <v>5.0</v>
      </c>
      <c r="B139" s="54" t="s">
        <v>194</v>
      </c>
      <c r="C139" s="70" t="s">
        <v>195</v>
      </c>
      <c r="D139" s="7"/>
      <c r="E139" s="7"/>
      <c r="F139" s="8"/>
      <c r="G139" s="120" t="s">
        <v>256</v>
      </c>
      <c r="H139" s="116"/>
      <c r="I139" s="116"/>
      <c r="J139" s="117"/>
      <c r="K139" s="71"/>
      <c r="L139" s="7"/>
      <c r="M139" s="7"/>
      <c r="N139" s="8"/>
      <c r="O139" s="119"/>
      <c r="P139" s="7"/>
      <c r="Q139" s="8"/>
      <c r="R139" s="119"/>
      <c r="S139" s="8"/>
      <c r="T139" s="119" t="s">
        <v>255</v>
      </c>
      <c r="U139" s="8"/>
      <c r="V139" s="128"/>
      <c r="W139" s="8"/>
      <c r="X139" s="71"/>
      <c r="Y139" s="8"/>
    </row>
    <row r="140" ht="22.5" customHeight="1"/>
    <row r="141" ht="22.5" customHeight="1">
      <c r="A141" s="127">
        <v>17.0</v>
      </c>
      <c r="B141" s="41" t="s">
        <v>7</v>
      </c>
      <c r="C141" s="112" t="str">
        <f>B20</f>
        <v>amistad</v>
      </c>
      <c r="D141" s="7"/>
      <c r="E141" s="7"/>
      <c r="F141" s="8"/>
      <c r="G141" s="46" t="s">
        <v>8</v>
      </c>
      <c r="H141" s="7"/>
      <c r="I141" s="7"/>
      <c r="J141" s="8"/>
      <c r="K141" s="113" t="str">
        <f>F20</f>
        <v>Representa las conexiones entre usuarios (seguimiento o amistad).</v>
      </c>
      <c r="L141" s="7"/>
      <c r="M141" s="7"/>
      <c r="N141" s="7"/>
      <c r="O141" s="7"/>
      <c r="P141" s="7"/>
      <c r="Q141" s="7"/>
      <c r="R141" s="7"/>
      <c r="S141" s="7"/>
      <c r="T141" s="7"/>
      <c r="U141" s="7"/>
      <c r="V141" s="7"/>
      <c r="W141" s="8"/>
      <c r="X141" s="49" t="s">
        <v>76</v>
      </c>
      <c r="Y141" s="114">
        <v>1.0</v>
      </c>
    </row>
    <row r="142" ht="22.5" customHeight="1">
      <c r="A142" s="63" t="s">
        <v>5</v>
      </c>
      <c r="B142" s="49" t="s">
        <v>245</v>
      </c>
      <c r="C142" s="46" t="s">
        <v>246</v>
      </c>
      <c r="D142" s="7"/>
      <c r="E142" s="7"/>
      <c r="F142" s="8"/>
      <c r="G142" s="46" t="s">
        <v>247</v>
      </c>
      <c r="H142" s="7"/>
      <c r="I142" s="7"/>
      <c r="J142" s="8"/>
      <c r="K142" s="46" t="s">
        <v>250</v>
      </c>
      <c r="L142" s="7"/>
      <c r="M142" s="7"/>
      <c r="N142" s="8"/>
      <c r="O142" s="46" t="s">
        <v>251</v>
      </c>
      <c r="P142" s="7"/>
      <c r="Q142" s="8"/>
      <c r="R142" s="46" t="s">
        <v>101</v>
      </c>
      <c r="S142" s="8"/>
      <c r="T142" s="46" t="s">
        <v>104</v>
      </c>
      <c r="U142" s="8"/>
      <c r="V142" s="46" t="s">
        <v>109</v>
      </c>
      <c r="W142" s="8"/>
      <c r="X142" s="46" t="s">
        <v>253</v>
      </c>
      <c r="Y142" s="8"/>
    </row>
    <row r="143" ht="22.5" customHeight="1">
      <c r="A143" s="68">
        <v>1.0</v>
      </c>
      <c r="B143" s="54" t="s">
        <v>196</v>
      </c>
      <c r="C143" s="70" t="s">
        <v>197</v>
      </c>
      <c r="D143" s="7"/>
      <c r="E143" s="7"/>
      <c r="F143" s="8"/>
      <c r="G143" s="120" t="s">
        <v>254</v>
      </c>
      <c r="H143" s="116"/>
      <c r="I143" s="116"/>
      <c r="J143" s="117"/>
      <c r="K143" s="71"/>
      <c r="L143" s="7"/>
      <c r="M143" s="7"/>
      <c r="N143" s="8"/>
      <c r="O143" s="118"/>
      <c r="P143" s="7"/>
      <c r="Q143" s="8"/>
      <c r="R143" s="119" t="s">
        <v>255</v>
      </c>
      <c r="S143" s="8"/>
      <c r="T143" s="118"/>
      <c r="U143" s="8"/>
      <c r="V143" s="118"/>
      <c r="W143" s="8"/>
      <c r="X143" s="71"/>
      <c r="Y143" s="8"/>
    </row>
    <row r="144" ht="22.5" customHeight="1">
      <c r="A144" s="68">
        <v>2.0</v>
      </c>
      <c r="B144" s="54" t="s">
        <v>198</v>
      </c>
      <c r="C144" s="70" t="s">
        <v>199</v>
      </c>
      <c r="D144" s="7"/>
      <c r="E144" s="7"/>
      <c r="F144" s="8"/>
      <c r="G144" s="120" t="s">
        <v>257</v>
      </c>
      <c r="H144" s="116"/>
      <c r="I144" s="116"/>
      <c r="J144" s="117"/>
      <c r="K144" s="71"/>
      <c r="L144" s="7"/>
      <c r="M144" s="7"/>
      <c r="N144" s="8"/>
      <c r="O144" s="119" t="s">
        <v>258</v>
      </c>
      <c r="P144" s="7"/>
      <c r="Q144" s="8"/>
      <c r="R144" s="118"/>
      <c r="S144" s="8"/>
      <c r="T144" s="119"/>
      <c r="U144" s="8"/>
      <c r="V144" s="118"/>
      <c r="W144" s="8"/>
      <c r="X144" s="71"/>
      <c r="Y144" s="8"/>
    </row>
    <row r="145" ht="22.5" customHeight="1">
      <c r="A145" s="122">
        <v>3.0</v>
      </c>
      <c r="B145" s="54" t="s">
        <v>200</v>
      </c>
      <c r="C145" s="70" t="s">
        <v>201</v>
      </c>
      <c r="D145" s="7"/>
      <c r="E145" s="7"/>
      <c r="F145" s="8"/>
      <c r="G145" s="120" t="s">
        <v>256</v>
      </c>
      <c r="H145" s="116"/>
      <c r="I145" s="116"/>
      <c r="J145" s="117"/>
      <c r="K145" s="71"/>
      <c r="L145" s="7"/>
      <c r="M145" s="7"/>
      <c r="N145" s="8"/>
      <c r="O145" s="119"/>
      <c r="P145" s="7"/>
      <c r="Q145" s="8"/>
      <c r="R145" s="119"/>
      <c r="S145" s="8"/>
      <c r="T145" s="119" t="s">
        <v>267</v>
      </c>
      <c r="U145" s="8"/>
      <c r="V145" s="128"/>
      <c r="W145" s="8"/>
      <c r="X145" s="71"/>
      <c r="Y145" s="8"/>
    </row>
    <row r="146" ht="22.5" customHeight="1">
      <c r="A146" s="122">
        <v>4.0</v>
      </c>
      <c r="B146" s="54" t="s">
        <v>202</v>
      </c>
      <c r="C146" s="70" t="s">
        <v>203</v>
      </c>
      <c r="D146" s="7"/>
      <c r="E146" s="7"/>
      <c r="F146" s="8"/>
      <c r="G146" s="120" t="s">
        <v>256</v>
      </c>
      <c r="H146" s="116"/>
      <c r="I146" s="116"/>
      <c r="J146" s="117"/>
      <c r="K146" s="71"/>
      <c r="L146" s="7"/>
      <c r="M146" s="7"/>
      <c r="N146" s="8"/>
      <c r="O146" s="119"/>
      <c r="P146" s="7"/>
      <c r="Q146" s="8"/>
      <c r="R146" s="119"/>
      <c r="S146" s="8"/>
      <c r="T146" s="119" t="s">
        <v>255</v>
      </c>
      <c r="U146" s="8"/>
      <c r="V146" s="128"/>
      <c r="W146" s="8"/>
      <c r="X146" s="71"/>
      <c r="Y146" s="8"/>
    </row>
    <row r="147" ht="22.5" customHeight="1"/>
    <row r="148" ht="22.5" customHeight="1">
      <c r="A148" s="127">
        <v>18.0</v>
      </c>
      <c r="B148" s="41" t="s">
        <v>7</v>
      </c>
      <c r="C148" s="112" t="str">
        <f>B21</f>
        <v>historial_actividad</v>
      </c>
      <c r="D148" s="7"/>
      <c r="E148" s="7"/>
      <c r="F148" s="8"/>
      <c r="G148" s="46" t="s">
        <v>8</v>
      </c>
      <c r="H148" s="7"/>
      <c r="I148" s="7"/>
      <c r="J148" s="8"/>
      <c r="K148" s="113" t="str">
        <f>F21</f>
        <v>Guarda las acciones realizadas por cada usuario (publicar, comentar, unirse a grupo, etc.).</v>
      </c>
      <c r="L148" s="7"/>
      <c r="M148" s="7"/>
      <c r="N148" s="7"/>
      <c r="O148" s="7"/>
      <c r="P148" s="7"/>
      <c r="Q148" s="7"/>
      <c r="R148" s="7"/>
      <c r="S148" s="7"/>
      <c r="T148" s="7"/>
      <c r="U148" s="7"/>
      <c r="V148" s="7"/>
      <c r="W148" s="8"/>
      <c r="X148" s="49" t="s">
        <v>76</v>
      </c>
      <c r="Y148" s="114">
        <v>1.0</v>
      </c>
    </row>
    <row r="149" ht="22.5" customHeight="1">
      <c r="A149" s="63" t="s">
        <v>5</v>
      </c>
      <c r="B149" s="49" t="s">
        <v>245</v>
      </c>
      <c r="C149" s="46" t="s">
        <v>246</v>
      </c>
      <c r="D149" s="7"/>
      <c r="E149" s="7"/>
      <c r="F149" s="8"/>
      <c r="G149" s="46" t="s">
        <v>247</v>
      </c>
      <c r="H149" s="7"/>
      <c r="I149" s="7"/>
      <c r="J149" s="8"/>
      <c r="K149" s="46" t="s">
        <v>250</v>
      </c>
      <c r="L149" s="7"/>
      <c r="M149" s="7"/>
      <c r="N149" s="8"/>
      <c r="O149" s="46" t="s">
        <v>251</v>
      </c>
      <c r="P149" s="7"/>
      <c r="Q149" s="8"/>
      <c r="R149" s="46" t="s">
        <v>101</v>
      </c>
      <c r="S149" s="8"/>
      <c r="T149" s="46" t="s">
        <v>104</v>
      </c>
      <c r="U149" s="8"/>
      <c r="V149" s="46" t="s">
        <v>109</v>
      </c>
      <c r="W149" s="8"/>
      <c r="X149" s="46" t="s">
        <v>253</v>
      </c>
      <c r="Y149" s="8"/>
    </row>
    <row r="150" ht="22.5" customHeight="1">
      <c r="A150" s="68">
        <v>1.0</v>
      </c>
      <c r="B150" s="54" t="s">
        <v>204</v>
      </c>
      <c r="C150" s="64" t="s">
        <v>205</v>
      </c>
      <c r="D150" s="28"/>
      <c r="E150" s="28"/>
      <c r="F150" s="29"/>
      <c r="G150" s="120" t="s">
        <v>254</v>
      </c>
      <c r="H150" s="116"/>
      <c r="I150" s="116"/>
      <c r="J150" s="117"/>
      <c r="K150" s="71"/>
      <c r="L150" s="7"/>
      <c r="M150" s="7"/>
      <c r="N150" s="8"/>
      <c r="O150" s="118"/>
      <c r="P150" s="7"/>
      <c r="Q150" s="8"/>
      <c r="R150" s="119" t="s">
        <v>255</v>
      </c>
      <c r="S150" s="8"/>
      <c r="T150" s="118"/>
      <c r="U150" s="8"/>
      <c r="V150" s="118"/>
      <c r="W150" s="8"/>
      <c r="X150" s="71"/>
      <c r="Y150" s="8"/>
    </row>
    <row r="151" ht="22.5" customHeight="1">
      <c r="A151" s="68">
        <v>2.0</v>
      </c>
      <c r="B151" s="54" t="s">
        <v>206</v>
      </c>
      <c r="C151" s="64" t="s">
        <v>207</v>
      </c>
      <c r="D151" s="28"/>
      <c r="E151" s="28"/>
      <c r="F151" s="29"/>
      <c r="G151" s="120" t="s">
        <v>257</v>
      </c>
      <c r="H151" s="116"/>
      <c r="I151" s="116"/>
      <c r="J151" s="117"/>
      <c r="K151" s="71"/>
      <c r="L151" s="7"/>
      <c r="M151" s="7"/>
      <c r="N151" s="8"/>
      <c r="O151" s="119" t="s">
        <v>258</v>
      </c>
      <c r="P151" s="7"/>
      <c r="Q151" s="8"/>
      <c r="R151" s="118"/>
      <c r="S151" s="8"/>
      <c r="T151" s="119"/>
      <c r="U151" s="8"/>
      <c r="V151" s="118"/>
      <c r="W151" s="8"/>
      <c r="X151" s="71"/>
      <c r="Y151" s="8"/>
    </row>
    <row r="152" ht="22.5" customHeight="1">
      <c r="A152" s="122">
        <v>3.0</v>
      </c>
      <c r="B152" s="54" t="s">
        <v>135</v>
      </c>
      <c r="C152" s="64" t="s">
        <v>208</v>
      </c>
      <c r="D152" s="28"/>
      <c r="E152" s="28"/>
      <c r="F152" s="29"/>
      <c r="G152" s="129" t="s">
        <v>262</v>
      </c>
      <c r="H152" s="116"/>
      <c r="I152" s="116"/>
      <c r="J152" s="117"/>
      <c r="K152" s="71"/>
      <c r="L152" s="7"/>
      <c r="M152" s="7"/>
      <c r="N152" s="8"/>
      <c r="O152" s="119" t="s">
        <v>258</v>
      </c>
      <c r="P152" s="7"/>
      <c r="Q152" s="8"/>
      <c r="R152" s="119"/>
      <c r="S152" s="8"/>
      <c r="T152" s="119"/>
      <c r="U152" s="8"/>
      <c r="V152" s="128"/>
      <c r="W152" s="8"/>
      <c r="X152" s="71"/>
      <c r="Y152" s="8"/>
    </row>
    <row r="153" ht="22.5" customHeight="1">
      <c r="A153" s="122">
        <v>4.0</v>
      </c>
      <c r="B153" s="54" t="s">
        <v>81</v>
      </c>
      <c r="C153" s="64" t="s">
        <v>209</v>
      </c>
      <c r="D153" s="28"/>
      <c r="E153" s="28"/>
      <c r="F153" s="29"/>
      <c r="G153" s="120" t="s">
        <v>256</v>
      </c>
      <c r="H153" s="116"/>
      <c r="I153" s="116"/>
      <c r="J153" s="117"/>
      <c r="K153" s="71"/>
      <c r="L153" s="7"/>
      <c r="M153" s="7"/>
      <c r="N153" s="8"/>
      <c r="O153" s="119"/>
      <c r="P153" s="7"/>
      <c r="Q153" s="8"/>
      <c r="R153" s="119"/>
      <c r="S153" s="8"/>
      <c r="T153" s="119" t="s">
        <v>255</v>
      </c>
      <c r="U153" s="8"/>
      <c r="V153" s="128"/>
      <c r="W153" s="8"/>
      <c r="X153" s="71"/>
      <c r="Y153" s="8"/>
    </row>
    <row r="154" ht="22.5" customHeight="1"/>
    <row r="155" ht="22.5" customHeight="1">
      <c r="A155" s="127">
        <v>19.0</v>
      </c>
      <c r="B155" s="41" t="s">
        <v>7</v>
      </c>
      <c r="C155" s="112" t="str">
        <f>B22</f>
        <v>usuario_grupo</v>
      </c>
      <c r="D155" s="7"/>
      <c r="E155" s="7"/>
      <c r="F155" s="8"/>
      <c r="G155" s="46" t="s">
        <v>8</v>
      </c>
      <c r="H155" s="7"/>
      <c r="I155" s="7"/>
      <c r="J155" s="8"/>
      <c r="K155" s="113" t="str">
        <f>F22</f>
        <v>Un usuario pertenece a uno o varios grupos.</v>
      </c>
      <c r="L155" s="7"/>
      <c r="M155" s="7"/>
      <c r="N155" s="7"/>
      <c r="O155" s="7"/>
      <c r="P155" s="7"/>
      <c r="Q155" s="7"/>
      <c r="R155" s="7"/>
      <c r="S155" s="7"/>
      <c r="T155" s="7"/>
      <c r="U155" s="7"/>
      <c r="V155" s="7"/>
      <c r="W155" s="8"/>
      <c r="X155" s="49" t="s">
        <v>76</v>
      </c>
      <c r="Y155" s="114">
        <v>1.0</v>
      </c>
    </row>
    <row r="156" ht="22.5" customHeight="1">
      <c r="A156" s="63" t="s">
        <v>5</v>
      </c>
      <c r="B156" s="49" t="s">
        <v>245</v>
      </c>
      <c r="C156" s="46" t="s">
        <v>246</v>
      </c>
      <c r="D156" s="7"/>
      <c r="E156" s="7"/>
      <c r="F156" s="8"/>
      <c r="G156" s="46" t="s">
        <v>247</v>
      </c>
      <c r="H156" s="7"/>
      <c r="I156" s="7"/>
      <c r="J156" s="8"/>
      <c r="K156" s="46" t="s">
        <v>250</v>
      </c>
      <c r="L156" s="7"/>
      <c r="M156" s="7"/>
      <c r="N156" s="8"/>
      <c r="O156" s="46" t="s">
        <v>251</v>
      </c>
      <c r="P156" s="7"/>
      <c r="Q156" s="8"/>
      <c r="R156" s="46" t="s">
        <v>101</v>
      </c>
      <c r="S156" s="8"/>
      <c r="T156" s="46" t="s">
        <v>104</v>
      </c>
      <c r="U156" s="8"/>
      <c r="V156" s="46" t="s">
        <v>109</v>
      </c>
      <c r="W156" s="8"/>
      <c r="X156" s="46" t="s">
        <v>253</v>
      </c>
      <c r="Y156" s="8"/>
    </row>
    <row r="157" ht="22.5" customHeight="1">
      <c r="A157" s="68">
        <v>1.0</v>
      </c>
      <c r="B157" s="54" t="s">
        <v>210</v>
      </c>
      <c r="C157" s="87" t="s">
        <v>211</v>
      </c>
      <c r="D157" s="7"/>
      <c r="E157" s="7"/>
      <c r="F157" s="8"/>
      <c r="G157" s="120" t="s">
        <v>254</v>
      </c>
      <c r="H157" s="116"/>
      <c r="I157" s="116"/>
      <c r="J157" s="117"/>
      <c r="K157" s="71"/>
      <c r="L157" s="7"/>
      <c r="M157" s="7"/>
      <c r="N157" s="8"/>
      <c r="O157" s="118"/>
      <c r="P157" s="7"/>
      <c r="Q157" s="8"/>
      <c r="R157" s="119" t="s">
        <v>255</v>
      </c>
      <c r="S157" s="8"/>
      <c r="T157" s="118"/>
      <c r="U157" s="8"/>
      <c r="V157" s="118"/>
      <c r="W157" s="8"/>
      <c r="X157" s="71"/>
      <c r="Y157" s="8"/>
    </row>
    <row r="158" ht="22.5" customHeight="1">
      <c r="A158" s="68">
        <v>2.0</v>
      </c>
      <c r="B158" s="54" t="s">
        <v>81</v>
      </c>
      <c r="C158" s="87" t="s">
        <v>212</v>
      </c>
      <c r="D158" s="7"/>
      <c r="E158" s="7"/>
      <c r="F158" s="8"/>
      <c r="G158" s="120" t="s">
        <v>256</v>
      </c>
      <c r="H158" s="116"/>
      <c r="I158" s="116"/>
      <c r="J158" s="117"/>
      <c r="K158" s="71"/>
      <c r="L158" s="7"/>
      <c r="M158" s="7"/>
      <c r="N158" s="8"/>
      <c r="O158" s="119"/>
      <c r="P158" s="7"/>
      <c r="Q158" s="8"/>
      <c r="R158" s="118"/>
      <c r="S158" s="8"/>
      <c r="T158" s="119" t="s">
        <v>255</v>
      </c>
      <c r="U158" s="8"/>
      <c r="V158" s="118"/>
      <c r="W158" s="8"/>
      <c r="X158" s="71"/>
      <c r="Y158" s="8"/>
    </row>
    <row r="159" ht="22.5" customHeight="1">
      <c r="A159" s="122">
        <v>3.0</v>
      </c>
      <c r="B159" s="54" t="s">
        <v>143</v>
      </c>
      <c r="C159" s="87" t="s">
        <v>213</v>
      </c>
      <c r="D159" s="7"/>
      <c r="E159" s="7"/>
      <c r="F159" s="8"/>
      <c r="G159" s="120" t="s">
        <v>256</v>
      </c>
      <c r="H159" s="116"/>
      <c r="I159" s="116"/>
      <c r="J159" s="117"/>
      <c r="K159" s="71"/>
      <c r="L159" s="7"/>
      <c r="M159" s="7"/>
      <c r="N159" s="8"/>
      <c r="O159" s="119"/>
      <c r="P159" s="7"/>
      <c r="Q159" s="8"/>
      <c r="R159" s="119"/>
      <c r="S159" s="8"/>
      <c r="T159" s="119" t="s">
        <v>255</v>
      </c>
      <c r="U159" s="8"/>
      <c r="V159" s="128"/>
      <c r="W159" s="8"/>
      <c r="X159" s="71"/>
      <c r="Y159" s="8"/>
    </row>
    <row r="160" ht="22.5" customHeight="1">
      <c r="A160" s="122">
        <v>4.0</v>
      </c>
      <c r="B160" s="54" t="s">
        <v>214</v>
      </c>
      <c r="C160" s="86" t="s">
        <v>215</v>
      </c>
      <c r="D160" s="7"/>
      <c r="E160" s="7"/>
      <c r="F160" s="8"/>
      <c r="G160" s="129" t="s">
        <v>262</v>
      </c>
      <c r="H160" s="116"/>
      <c r="I160" s="116"/>
      <c r="J160" s="117"/>
      <c r="K160" s="71"/>
      <c r="L160" s="7"/>
      <c r="M160" s="7"/>
      <c r="N160" s="8"/>
      <c r="O160" s="119" t="s">
        <v>258</v>
      </c>
      <c r="P160" s="7"/>
      <c r="Q160" s="8"/>
      <c r="R160" s="119"/>
      <c r="S160" s="8"/>
      <c r="T160" s="119"/>
      <c r="U160" s="8"/>
      <c r="V160" s="128"/>
      <c r="W160" s="8"/>
      <c r="X160" s="71"/>
      <c r="Y160" s="8"/>
    </row>
    <row r="161" ht="22.5" customHeight="1">
      <c r="A161" s="122">
        <v>5.0</v>
      </c>
      <c r="B161" s="107" t="s">
        <v>216</v>
      </c>
      <c r="C161" s="108" t="s">
        <v>217</v>
      </c>
      <c r="D161" s="7"/>
      <c r="E161" s="7"/>
      <c r="F161" s="8"/>
      <c r="G161" s="120" t="s">
        <v>256</v>
      </c>
      <c r="H161" s="116"/>
      <c r="I161" s="116"/>
      <c r="J161" s="117"/>
      <c r="K161" s="71"/>
      <c r="L161" s="7"/>
      <c r="M161" s="7"/>
      <c r="N161" s="8"/>
      <c r="O161" s="119"/>
      <c r="P161" s="7"/>
      <c r="Q161" s="8"/>
      <c r="R161" s="119"/>
      <c r="S161" s="8"/>
      <c r="T161" s="119" t="s">
        <v>255</v>
      </c>
      <c r="U161" s="8"/>
      <c r="V161" s="128"/>
      <c r="W161" s="8"/>
      <c r="X161" s="71"/>
      <c r="Y161" s="8"/>
    </row>
    <row r="162" ht="22.5" customHeight="1"/>
    <row r="163" ht="22.5" customHeight="1">
      <c r="A163" s="127">
        <v>20.0</v>
      </c>
      <c r="B163" s="41" t="s">
        <v>7</v>
      </c>
      <c r="C163" s="112" t="str">
        <f>B23</f>
        <v>evento_usuarios</v>
      </c>
      <c r="D163" s="7"/>
      <c r="E163" s="7"/>
      <c r="F163" s="8"/>
      <c r="G163" s="46" t="s">
        <v>8</v>
      </c>
      <c r="H163" s="7"/>
      <c r="I163" s="7"/>
      <c r="J163" s="8"/>
      <c r="K163" s="113" t="str">
        <f>F23</f>
        <v>Un usuario participa en eventos organizados por otros.</v>
      </c>
      <c r="L163" s="7"/>
      <c r="M163" s="7"/>
      <c r="N163" s="7"/>
      <c r="O163" s="7"/>
      <c r="P163" s="7"/>
      <c r="Q163" s="7"/>
      <c r="R163" s="7"/>
      <c r="S163" s="7"/>
      <c r="T163" s="7"/>
      <c r="U163" s="7"/>
      <c r="V163" s="7"/>
      <c r="W163" s="8"/>
      <c r="X163" s="49" t="s">
        <v>76</v>
      </c>
      <c r="Y163" s="114">
        <v>1.0</v>
      </c>
    </row>
    <row r="164" ht="22.5" customHeight="1">
      <c r="A164" s="63" t="s">
        <v>5</v>
      </c>
      <c r="B164" s="49" t="s">
        <v>245</v>
      </c>
      <c r="C164" s="46" t="s">
        <v>246</v>
      </c>
      <c r="D164" s="7"/>
      <c r="E164" s="7"/>
      <c r="F164" s="8"/>
      <c r="G164" s="46" t="s">
        <v>247</v>
      </c>
      <c r="H164" s="7"/>
      <c r="I164" s="7"/>
      <c r="J164" s="8"/>
      <c r="K164" s="46" t="s">
        <v>250</v>
      </c>
      <c r="L164" s="7"/>
      <c r="M164" s="7"/>
      <c r="N164" s="8"/>
      <c r="O164" s="46" t="s">
        <v>251</v>
      </c>
      <c r="P164" s="7"/>
      <c r="Q164" s="8"/>
      <c r="R164" s="46" t="s">
        <v>101</v>
      </c>
      <c r="S164" s="8"/>
      <c r="T164" s="46" t="s">
        <v>104</v>
      </c>
      <c r="U164" s="8"/>
      <c r="V164" s="46" t="s">
        <v>109</v>
      </c>
      <c r="W164" s="8"/>
      <c r="X164" s="46" t="s">
        <v>253</v>
      </c>
      <c r="Y164" s="8"/>
    </row>
    <row r="165" ht="22.5" customHeight="1">
      <c r="A165" s="68">
        <v>1.0</v>
      </c>
      <c r="B165" s="54" t="s">
        <v>218</v>
      </c>
      <c r="C165" s="87" t="s">
        <v>211</v>
      </c>
      <c r="D165" s="7"/>
      <c r="E165" s="7"/>
      <c r="F165" s="8"/>
      <c r="G165" s="120" t="s">
        <v>254</v>
      </c>
      <c r="H165" s="116"/>
      <c r="I165" s="116"/>
      <c r="J165" s="117"/>
      <c r="K165" s="71"/>
      <c r="L165" s="7"/>
      <c r="M165" s="7"/>
      <c r="N165" s="8"/>
      <c r="O165" s="118"/>
      <c r="P165" s="7"/>
      <c r="Q165" s="8"/>
      <c r="R165" s="119" t="s">
        <v>255</v>
      </c>
      <c r="S165" s="8"/>
      <c r="T165" s="118"/>
      <c r="U165" s="8"/>
      <c r="V165" s="118"/>
      <c r="W165" s="8"/>
      <c r="X165" s="71"/>
      <c r="Y165" s="8"/>
    </row>
    <row r="166" ht="22.5" customHeight="1">
      <c r="A166" s="68">
        <v>2.0</v>
      </c>
      <c r="B166" s="54" t="s">
        <v>81</v>
      </c>
      <c r="C166" s="87" t="s">
        <v>212</v>
      </c>
      <c r="D166" s="7"/>
      <c r="E166" s="7"/>
      <c r="F166" s="8"/>
      <c r="G166" s="120" t="s">
        <v>256</v>
      </c>
      <c r="H166" s="116"/>
      <c r="I166" s="116"/>
      <c r="J166" s="117"/>
      <c r="K166" s="71"/>
      <c r="L166" s="7"/>
      <c r="M166" s="7"/>
      <c r="N166" s="8"/>
      <c r="O166" s="119"/>
      <c r="P166" s="7"/>
      <c r="Q166" s="8"/>
      <c r="R166" s="118"/>
      <c r="S166" s="8"/>
      <c r="T166" s="119" t="s">
        <v>255</v>
      </c>
      <c r="U166" s="8"/>
      <c r="V166" s="118"/>
      <c r="W166" s="8"/>
      <c r="X166" s="71"/>
      <c r="Y166" s="8"/>
    </row>
    <row r="167" ht="22.5" customHeight="1">
      <c r="A167" s="122">
        <v>3.0</v>
      </c>
      <c r="B167" s="54" t="s">
        <v>167</v>
      </c>
      <c r="C167" s="87" t="s">
        <v>213</v>
      </c>
      <c r="D167" s="7"/>
      <c r="E167" s="7"/>
      <c r="F167" s="8"/>
      <c r="G167" s="120" t="s">
        <v>256</v>
      </c>
      <c r="H167" s="116"/>
      <c r="I167" s="116"/>
      <c r="J167" s="117"/>
      <c r="K167" s="71"/>
      <c r="L167" s="7"/>
      <c r="M167" s="7"/>
      <c r="N167" s="8"/>
      <c r="O167" s="119"/>
      <c r="P167" s="7"/>
      <c r="Q167" s="8"/>
      <c r="R167" s="119"/>
      <c r="S167" s="8"/>
      <c r="T167" s="119" t="s">
        <v>255</v>
      </c>
      <c r="U167" s="8"/>
      <c r="V167" s="128"/>
      <c r="W167" s="8"/>
      <c r="X167" s="71"/>
      <c r="Y167" s="8"/>
    </row>
    <row r="168" ht="22.5" customHeight="1">
      <c r="A168" s="122">
        <v>4.0</v>
      </c>
      <c r="B168" s="54" t="s">
        <v>221</v>
      </c>
      <c r="C168" s="86" t="s">
        <v>215</v>
      </c>
      <c r="D168" s="7"/>
      <c r="E168" s="7"/>
      <c r="F168" s="8"/>
      <c r="G168" s="129" t="s">
        <v>262</v>
      </c>
      <c r="H168" s="116"/>
      <c r="I168" s="116"/>
      <c r="J168" s="117"/>
      <c r="K168" s="71"/>
      <c r="L168" s="7"/>
      <c r="M168" s="7"/>
      <c r="N168" s="8"/>
      <c r="O168" s="119" t="s">
        <v>258</v>
      </c>
      <c r="P168" s="7"/>
      <c r="Q168" s="8"/>
      <c r="R168" s="119"/>
      <c r="S168" s="8"/>
      <c r="T168" s="119"/>
      <c r="U168" s="8"/>
      <c r="V168" s="128"/>
      <c r="W168" s="8"/>
      <c r="X168" s="71"/>
      <c r="Y168" s="8"/>
    </row>
    <row r="169" ht="22.5" customHeight="1">
      <c r="A169" s="122">
        <v>5.0</v>
      </c>
      <c r="B169" s="54" t="s">
        <v>223</v>
      </c>
      <c r="C169" s="86"/>
      <c r="D169" s="7"/>
      <c r="E169" s="7"/>
      <c r="F169" s="8"/>
      <c r="G169" s="120" t="s">
        <v>256</v>
      </c>
      <c r="H169" s="129"/>
      <c r="I169" s="129"/>
      <c r="J169" s="131"/>
      <c r="K169" s="71"/>
      <c r="L169" s="7"/>
      <c r="M169" s="7"/>
      <c r="N169" s="8"/>
      <c r="O169" s="119" t="s">
        <v>258</v>
      </c>
      <c r="P169" s="7"/>
      <c r="Q169" s="8"/>
      <c r="R169" s="119"/>
      <c r="S169" s="8"/>
      <c r="T169" s="119"/>
      <c r="U169" s="8"/>
      <c r="V169" s="128"/>
      <c r="W169" s="8"/>
      <c r="X169" s="71"/>
      <c r="Y169" s="8"/>
    </row>
    <row r="170" ht="22.5" customHeight="1">
      <c r="A170" s="122">
        <v>6.0</v>
      </c>
      <c r="B170" s="54" t="s">
        <v>225</v>
      </c>
      <c r="C170" s="87" t="s">
        <v>217</v>
      </c>
      <c r="D170" s="7"/>
      <c r="E170" s="7"/>
      <c r="F170" s="8"/>
      <c r="G170" s="120" t="s">
        <v>261</v>
      </c>
      <c r="H170" s="116"/>
      <c r="I170" s="116"/>
      <c r="J170" s="117"/>
      <c r="K170" s="71"/>
      <c r="L170" s="7"/>
      <c r="M170" s="7"/>
      <c r="N170" s="8"/>
      <c r="O170" s="119" t="s">
        <v>258</v>
      </c>
      <c r="P170" s="7"/>
      <c r="Q170" s="8"/>
      <c r="R170" s="119"/>
      <c r="S170" s="8"/>
      <c r="T170" s="119"/>
      <c r="U170" s="8"/>
      <c r="V170" s="128"/>
      <c r="W170" s="8"/>
      <c r="X170" s="71"/>
      <c r="Y170" s="8"/>
    </row>
    <row r="171" ht="22.5" customHeight="1">
      <c r="A171" s="132"/>
      <c r="B171" s="133"/>
      <c r="C171" s="134"/>
      <c r="D171" s="134"/>
      <c r="E171" s="134"/>
      <c r="F171" s="134"/>
      <c r="G171" s="120"/>
      <c r="H171" s="135"/>
      <c r="I171" s="135"/>
      <c r="J171" s="135"/>
      <c r="K171" s="135"/>
      <c r="L171" s="135"/>
      <c r="M171" s="135"/>
      <c r="N171" s="135"/>
      <c r="O171" s="136"/>
      <c r="P171" s="136"/>
      <c r="Q171" s="136"/>
      <c r="R171" s="136"/>
      <c r="S171" s="136"/>
      <c r="T171" s="136"/>
      <c r="U171" s="136"/>
      <c r="V171" s="137"/>
      <c r="W171" s="137"/>
      <c r="X171" s="135"/>
      <c r="Y171" s="135"/>
    </row>
    <row r="172" ht="22.5" customHeight="1">
      <c r="A172" s="127">
        <v>21.0</v>
      </c>
      <c r="B172" s="41" t="s">
        <v>7</v>
      </c>
      <c r="C172" s="112" t="str">
        <f>B24</f>
        <v>usuario_reaccion</v>
      </c>
      <c r="D172" s="7"/>
      <c r="E172" s="7"/>
      <c r="F172" s="8"/>
      <c r="G172" s="46" t="s">
        <v>8</v>
      </c>
      <c r="H172" s="7"/>
      <c r="I172" s="7"/>
      <c r="J172" s="8"/>
      <c r="K172" s="113" t="str">
        <f>F24</f>
        <v>Un usuario reacciona a publicaciones o comentarios.</v>
      </c>
      <c r="L172" s="7"/>
      <c r="M172" s="7"/>
      <c r="N172" s="7"/>
      <c r="O172" s="7"/>
      <c r="P172" s="7"/>
      <c r="Q172" s="7"/>
      <c r="R172" s="7"/>
      <c r="S172" s="7"/>
      <c r="T172" s="7"/>
      <c r="U172" s="7"/>
      <c r="V172" s="7"/>
      <c r="W172" s="8"/>
      <c r="X172" s="49" t="s">
        <v>76</v>
      </c>
      <c r="Y172" s="114">
        <v>1.0</v>
      </c>
    </row>
    <row r="173" ht="22.5" customHeight="1">
      <c r="A173" s="63" t="s">
        <v>5</v>
      </c>
      <c r="B173" s="49" t="s">
        <v>245</v>
      </c>
      <c r="C173" s="46" t="s">
        <v>246</v>
      </c>
      <c r="D173" s="7"/>
      <c r="E173" s="7"/>
      <c r="F173" s="8"/>
      <c r="G173" s="46" t="s">
        <v>247</v>
      </c>
      <c r="H173" s="7"/>
      <c r="I173" s="7"/>
      <c r="J173" s="8"/>
      <c r="K173" s="46" t="s">
        <v>250</v>
      </c>
      <c r="L173" s="7"/>
      <c r="M173" s="7"/>
      <c r="N173" s="8"/>
      <c r="O173" s="46" t="s">
        <v>251</v>
      </c>
      <c r="P173" s="7"/>
      <c r="Q173" s="8"/>
      <c r="R173" s="46" t="s">
        <v>101</v>
      </c>
      <c r="S173" s="8"/>
      <c r="T173" s="46" t="s">
        <v>104</v>
      </c>
      <c r="U173" s="8"/>
      <c r="V173" s="46" t="s">
        <v>109</v>
      </c>
      <c r="W173" s="8"/>
      <c r="X173" s="46" t="s">
        <v>253</v>
      </c>
      <c r="Y173" s="8"/>
    </row>
    <row r="174" ht="22.5" customHeight="1">
      <c r="A174" s="68">
        <v>1.0</v>
      </c>
      <c r="B174" s="54" t="s">
        <v>227</v>
      </c>
      <c r="C174" s="87" t="s">
        <v>211</v>
      </c>
      <c r="D174" s="7"/>
      <c r="E174" s="7"/>
      <c r="F174" s="8"/>
      <c r="G174" s="120" t="s">
        <v>254</v>
      </c>
      <c r="H174" s="116"/>
      <c r="I174" s="116"/>
      <c r="J174" s="117"/>
      <c r="K174" s="71"/>
      <c r="L174" s="7"/>
      <c r="M174" s="7"/>
      <c r="N174" s="8"/>
      <c r="O174" s="118"/>
      <c r="P174" s="7"/>
      <c r="Q174" s="8"/>
      <c r="R174" s="119" t="s">
        <v>255</v>
      </c>
      <c r="S174" s="8"/>
      <c r="T174" s="118"/>
      <c r="U174" s="8"/>
      <c r="V174" s="118"/>
      <c r="W174" s="8"/>
      <c r="X174" s="71"/>
      <c r="Y174" s="8"/>
    </row>
    <row r="175" ht="22.5" customHeight="1">
      <c r="A175" s="68">
        <v>2.0</v>
      </c>
      <c r="B175" s="54" t="s">
        <v>81</v>
      </c>
      <c r="C175" s="87" t="s">
        <v>228</v>
      </c>
      <c r="D175" s="7"/>
      <c r="E175" s="7"/>
      <c r="F175" s="8"/>
      <c r="G175" s="120" t="s">
        <v>256</v>
      </c>
      <c r="H175" s="116"/>
      <c r="I175" s="116"/>
      <c r="J175" s="117"/>
      <c r="K175" s="71"/>
      <c r="L175" s="7"/>
      <c r="M175" s="7"/>
      <c r="N175" s="8"/>
      <c r="O175" s="119"/>
      <c r="P175" s="7"/>
      <c r="Q175" s="8"/>
      <c r="R175" s="118"/>
      <c r="S175" s="8"/>
      <c r="T175" s="119" t="s">
        <v>255</v>
      </c>
      <c r="U175" s="8"/>
      <c r="V175" s="118"/>
      <c r="W175" s="8"/>
      <c r="X175" s="71"/>
      <c r="Y175" s="8"/>
    </row>
    <row r="176" ht="22.5" customHeight="1">
      <c r="A176" s="122">
        <v>3.0</v>
      </c>
      <c r="B176" s="54" t="s">
        <v>181</v>
      </c>
      <c r="C176" s="87" t="s">
        <v>229</v>
      </c>
      <c r="D176" s="7"/>
      <c r="E176" s="7"/>
      <c r="F176" s="8"/>
      <c r="G176" s="120" t="s">
        <v>256</v>
      </c>
      <c r="H176" s="116"/>
      <c r="I176" s="116"/>
      <c r="J176" s="117"/>
      <c r="K176" s="71"/>
      <c r="L176" s="7"/>
      <c r="M176" s="7"/>
      <c r="N176" s="8"/>
      <c r="O176" s="119"/>
      <c r="P176" s="7"/>
      <c r="Q176" s="8"/>
      <c r="R176" s="119"/>
      <c r="S176" s="8"/>
      <c r="T176" s="119" t="s">
        <v>255</v>
      </c>
      <c r="U176" s="8"/>
      <c r="V176" s="128"/>
      <c r="W176" s="8"/>
      <c r="X176" s="71"/>
      <c r="Y176" s="8"/>
    </row>
    <row r="177" ht="22.5" customHeight="1">
      <c r="A177" s="122">
        <v>4.0</v>
      </c>
      <c r="B177" s="54" t="s">
        <v>230</v>
      </c>
      <c r="C177" s="87" t="s">
        <v>231</v>
      </c>
      <c r="D177" s="7"/>
      <c r="E177" s="7"/>
      <c r="F177" s="8"/>
      <c r="G177" s="129" t="s">
        <v>262</v>
      </c>
      <c r="H177" s="116"/>
      <c r="I177" s="116"/>
      <c r="J177" s="117"/>
      <c r="K177" s="71"/>
      <c r="L177" s="7"/>
      <c r="M177" s="7"/>
      <c r="N177" s="8"/>
      <c r="O177" s="119" t="s">
        <v>258</v>
      </c>
      <c r="P177" s="7"/>
      <c r="Q177" s="8"/>
      <c r="R177" s="119"/>
      <c r="S177" s="8"/>
      <c r="T177" s="119"/>
      <c r="U177" s="8"/>
      <c r="V177" s="128"/>
      <c r="W177" s="8"/>
      <c r="X177" s="71"/>
      <c r="Y177" s="8"/>
    </row>
    <row r="178" ht="22.5" customHeight="1"/>
    <row r="179" ht="22.5" customHeight="1">
      <c r="A179" s="127">
        <v>22.0</v>
      </c>
      <c r="B179" s="41" t="s">
        <v>7</v>
      </c>
      <c r="C179" s="112" t="str">
        <f>B25</f>
        <v>usuario_amistad</v>
      </c>
      <c r="D179" s="7"/>
      <c r="E179" s="7"/>
      <c r="F179" s="8"/>
      <c r="G179" s="46" t="s">
        <v>8</v>
      </c>
      <c r="H179" s="7"/>
      <c r="I179" s="7"/>
      <c r="J179" s="8"/>
      <c r="K179" s="113" t="str">
        <f>F25</f>
        <v>Un usuario establece amistad con otro usuario.</v>
      </c>
      <c r="L179" s="7"/>
      <c r="M179" s="7"/>
      <c r="N179" s="7"/>
      <c r="O179" s="7"/>
      <c r="P179" s="7"/>
      <c r="Q179" s="7"/>
      <c r="R179" s="7"/>
      <c r="S179" s="7"/>
      <c r="T179" s="7"/>
      <c r="U179" s="7"/>
      <c r="V179" s="7"/>
      <c r="W179" s="8"/>
      <c r="X179" s="49" t="s">
        <v>76</v>
      </c>
      <c r="Y179" s="114">
        <v>1.0</v>
      </c>
    </row>
    <row r="180" ht="22.5" customHeight="1">
      <c r="A180" s="63" t="s">
        <v>5</v>
      </c>
      <c r="B180" s="49" t="s">
        <v>245</v>
      </c>
      <c r="C180" s="46" t="s">
        <v>246</v>
      </c>
      <c r="D180" s="7"/>
      <c r="E180" s="7"/>
      <c r="F180" s="8"/>
      <c r="G180" s="46" t="s">
        <v>247</v>
      </c>
      <c r="H180" s="7"/>
      <c r="I180" s="7"/>
      <c r="J180" s="8"/>
      <c r="K180" s="46" t="s">
        <v>250</v>
      </c>
      <c r="L180" s="7"/>
      <c r="M180" s="7"/>
      <c r="N180" s="8"/>
      <c r="O180" s="46" t="s">
        <v>251</v>
      </c>
      <c r="P180" s="7"/>
      <c r="Q180" s="8"/>
      <c r="R180" s="46" t="s">
        <v>101</v>
      </c>
      <c r="S180" s="8"/>
      <c r="T180" s="46" t="s">
        <v>104</v>
      </c>
      <c r="U180" s="8"/>
      <c r="V180" s="46" t="s">
        <v>109</v>
      </c>
      <c r="W180" s="8"/>
      <c r="X180" s="46" t="s">
        <v>253</v>
      </c>
      <c r="Y180" s="8"/>
    </row>
    <row r="181" ht="22.5" customHeight="1">
      <c r="A181" s="68">
        <v>1.0</v>
      </c>
      <c r="B181" s="54" t="s">
        <v>232</v>
      </c>
      <c r="C181" s="87" t="s">
        <v>233</v>
      </c>
      <c r="D181" s="7"/>
      <c r="E181" s="7"/>
      <c r="F181" s="8"/>
      <c r="G181" s="120" t="s">
        <v>254</v>
      </c>
      <c r="H181" s="116"/>
      <c r="I181" s="116"/>
      <c r="J181" s="117"/>
      <c r="K181" s="71"/>
      <c r="L181" s="7"/>
      <c r="M181" s="7"/>
      <c r="N181" s="8"/>
      <c r="O181" s="118"/>
      <c r="P181" s="7"/>
      <c r="Q181" s="8"/>
      <c r="R181" s="119" t="s">
        <v>255</v>
      </c>
      <c r="S181" s="8"/>
      <c r="T181" s="118"/>
      <c r="U181" s="8"/>
      <c r="V181" s="118"/>
      <c r="W181" s="8"/>
      <c r="X181" s="71"/>
      <c r="Y181" s="8"/>
    </row>
    <row r="182" ht="22.5" customHeight="1">
      <c r="A182" s="68">
        <v>2.0</v>
      </c>
      <c r="B182" s="54" t="s">
        <v>200</v>
      </c>
      <c r="C182" s="87" t="s">
        <v>234</v>
      </c>
      <c r="D182" s="7"/>
      <c r="E182" s="7"/>
      <c r="F182" s="8"/>
      <c r="G182" s="120" t="s">
        <v>256</v>
      </c>
      <c r="H182" s="116"/>
      <c r="I182" s="116"/>
      <c r="J182" s="117"/>
      <c r="K182" s="71"/>
      <c r="L182" s="7"/>
      <c r="M182" s="7"/>
      <c r="N182" s="8"/>
      <c r="O182" s="119"/>
      <c r="P182" s="7"/>
      <c r="Q182" s="8"/>
      <c r="R182" s="118"/>
      <c r="S182" s="8"/>
      <c r="T182" s="119" t="s">
        <v>255</v>
      </c>
      <c r="U182" s="8"/>
      <c r="V182" s="118"/>
      <c r="W182" s="8"/>
      <c r="X182" s="71"/>
      <c r="Y182" s="8"/>
    </row>
    <row r="183" ht="22.5" customHeight="1">
      <c r="A183" s="122">
        <v>3.0</v>
      </c>
      <c r="B183" s="54" t="s">
        <v>202</v>
      </c>
      <c r="C183" s="87" t="s">
        <v>235</v>
      </c>
      <c r="D183" s="7"/>
      <c r="E183" s="7"/>
      <c r="F183" s="8"/>
      <c r="G183" s="120" t="s">
        <v>256</v>
      </c>
      <c r="H183" s="116"/>
      <c r="I183" s="116"/>
      <c r="J183" s="117"/>
      <c r="K183" s="71"/>
      <c r="L183" s="7"/>
      <c r="M183" s="7"/>
      <c r="N183" s="8"/>
      <c r="O183" s="119"/>
      <c r="P183" s="7"/>
      <c r="Q183" s="8"/>
      <c r="R183" s="119"/>
      <c r="S183" s="8"/>
      <c r="T183" s="119" t="s">
        <v>255</v>
      </c>
      <c r="U183" s="8"/>
      <c r="V183" s="128"/>
      <c r="W183" s="8"/>
      <c r="X183" s="71"/>
      <c r="Y183" s="8"/>
    </row>
    <row r="184" ht="22.5" customHeight="1">
      <c r="A184" s="122">
        <v>4.0</v>
      </c>
      <c r="B184" s="54" t="s">
        <v>236</v>
      </c>
      <c r="C184" s="70" t="s">
        <v>237</v>
      </c>
      <c r="D184" s="7"/>
      <c r="E184" s="7"/>
      <c r="F184" s="8"/>
      <c r="G184" s="129" t="s">
        <v>262</v>
      </c>
      <c r="H184" s="116"/>
      <c r="I184" s="116"/>
      <c r="J184" s="117"/>
      <c r="K184" s="71"/>
      <c r="L184" s="7"/>
      <c r="M184" s="7"/>
      <c r="N184" s="8"/>
      <c r="O184" s="119" t="s">
        <v>258</v>
      </c>
      <c r="P184" s="7"/>
      <c r="Q184" s="8"/>
      <c r="R184" s="119"/>
      <c r="S184" s="8"/>
      <c r="T184" s="119"/>
      <c r="U184" s="8"/>
      <c r="V184" s="128"/>
      <c r="W184" s="8"/>
      <c r="X184" s="71"/>
      <c r="Y184" s="8"/>
    </row>
    <row r="185" ht="22.5" customHeight="1">
      <c r="A185" s="122">
        <v>5.0</v>
      </c>
      <c r="B185" s="54" t="s">
        <v>198</v>
      </c>
      <c r="C185" s="70" t="s">
        <v>238</v>
      </c>
      <c r="D185" s="7"/>
      <c r="E185" s="7"/>
      <c r="F185" s="8"/>
      <c r="G185" s="120" t="s">
        <v>257</v>
      </c>
      <c r="H185" s="116"/>
      <c r="I185" s="116"/>
      <c r="J185" s="117"/>
      <c r="K185" s="71"/>
      <c r="L185" s="7"/>
      <c r="M185" s="7"/>
      <c r="N185" s="8"/>
      <c r="O185" s="119" t="s">
        <v>258</v>
      </c>
      <c r="P185" s="7"/>
      <c r="Q185" s="8"/>
      <c r="R185" s="119"/>
      <c r="S185" s="8"/>
      <c r="T185" s="119"/>
      <c r="U185" s="8"/>
      <c r="V185" s="128"/>
      <c r="W185" s="8"/>
      <c r="X185" s="71"/>
      <c r="Y185" s="8"/>
    </row>
    <row r="186" ht="22.5" customHeight="1"/>
    <row r="187" ht="22.5" customHeight="1">
      <c r="A187" s="127">
        <v>22.0</v>
      </c>
      <c r="B187" s="41" t="s">
        <v>7</v>
      </c>
      <c r="C187" s="112" t="str">
        <f>B26</f>
        <v>perfil_publicacion</v>
      </c>
      <c r="D187" s="7"/>
      <c r="E187" s="7"/>
      <c r="F187" s="8"/>
      <c r="G187" s="46" t="s">
        <v>8</v>
      </c>
      <c r="H187" s="7"/>
      <c r="I187" s="7"/>
      <c r="J187" s="8"/>
      <c r="K187" s="113" t="str">
        <f>F26</f>
        <v>Un perfil contiene a una o varias publicaciones, y varios perfiles pueden contener la misma publicacion</v>
      </c>
      <c r="L187" s="7"/>
      <c r="M187" s="7"/>
      <c r="N187" s="7"/>
      <c r="O187" s="7"/>
      <c r="P187" s="7"/>
      <c r="Q187" s="7"/>
      <c r="R187" s="7"/>
      <c r="S187" s="7"/>
      <c r="T187" s="7"/>
      <c r="U187" s="7"/>
      <c r="V187" s="7"/>
      <c r="W187" s="8"/>
      <c r="X187" s="49" t="s">
        <v>76</v>
      </c>
      <c r="Y187" s="114">
        <v>1.0</v>
      </c>
    </row>
    <row r="188" ht="22.5" customHeight="1">
      <c r="A188" s="63" t="s">
        <v>5</v>
      </c>
      <c r="B188" s="49" t="s">
        <v>245</v>
      </c>
      <c r="C188" s="46" t="s">
        <v>246</v>
      </c>
      <c r="D188" s="7"/>
      <c r="E188" s="7"/>
      <c r="F188" s="8"/>
      <c r="G188" s="46" t="s">
        <v>247</v>
      </c>
      <c r="H188" s="7"/>
      <c r="I188" s="7"/>
      <c r="J188" s="8"/>
      <c r="K188" s="46" t="s">
        <v>250</v>
      </c>
      <c r="L188" s="7"/>
      <c r="M188" s="7"/>
      <c r="N188" s="8"/>
      <c r="O188" s="46" t="s">
        <v>251</v>
      </c>
      <c r="P188" s="7"/>
      <c r="Q188" s="8"/>
      <c r="R188" s="46" t="s">
        <v>101</v>
      </c>
      <c r="S188" s="8"/>
      <c r="T188" s="46" t="s">
        <v>104</v>
      </c>
      <c r="U188" s="8"/>
      <c r="V188" s="46" t="s">
        <v>109</v>
      </c>
      <c r="W188" s="8"/>
      <c r="X188" s="46" t="s">
        <v>253</v>
      </c>
      <c r="Y188" s="8"/>
    </row>
    <row r="189" ht="22.5" customHeight="1">
      <c r="A189" s="68">
        <v>1.0</v>
      </c>
      <c r="B189" s="54" t="s">
        <v>240</v>
      </c>
      <c r="C189" s="87" t="s">
        <v>211</v>
      </c>
      <c r="D189" s="7"/>
      <c r="E189" s="7"/>
      <c r="F189" s="8"/>
      <c r="G189" s="120" t="s">
        <v>254</v>
      </c>
      <c r="H189" s="116"/>
      <c r="I189" s="116"/>
      <c r="J189" s="117"/>
      <c r="K189" s="71"/>
      <c r="L189" s="7"/>
      <c r="M189" s="7"/>
      <c r="N189" s="8"/>
      <c r="O189" s="118"/>
      <c r="P189" s="7"/>
      <c r="Q189" s="8"/>
      <c r="R189" s="119" t="s">
        <v>255</v>
      </c>
      <c r="S189" s="8"/>
      <c r="T189" s="118"/>
      <c r="U189" s="8"/>
      <c r="V189" s="118"/>
      <c r="W189" s="8"/>
      <c r="X189" s="71"/>
      <c r="Y189" s="8"/>
    </row>
    <row r="190" ht="22.5" customHeight="1">
      <c r="A190" s="68">
        <v>2.0</v>
      </c>
      <c r="B190" s="54" t="s">
        <v>124</v>
      </c>
      <c r="C190" s="87" t="s">
        <v>241</v>
      </c>
      <c r="D190" s="7"/>
      <c r="E190" s="7"/>
      <c r="F190" s="8"/>
      <c r="G190" s="120" t="s">
        <v>256</v>
      </c>
      <c r="H190" s="116"/>
      <c r="I190" s="116"/>
      <c r="J190" s="117"/>
      <c r="K190" s="71"/>
      <c r="L190" s="7"/>
      <c r="M190" s="7"/>
      <c r="N190" s="8"/>
      <c r="O190" s="119"/>
      <c r="P190" s="7"/>
      <c r="Q190" s="8"/>
      <c r="R190" s="118"/>
      <c r="S190" s="8"/>
      <c r="T190" s="119" t="s">
        <v>255</v>
      </c>
      <c r="U190" s="8"/>
      <c r="V190" s="118"/>
      <c r="W190" s="8"/>
      <c r="X190" s="71"/>
      <c r="Y190" s="8"/>
    </row>
    <row r="191" ht="22.5" customHeight="1">
      <c r="A191" s="122">
        <v>3.0</v>
      </c>
      <c r="B191" s="54" t="s">
        <v>130</v>
      </c>
      <c r="C191" s="87" t="s">
        <v>242</v>
      </c>
      <c r="D191" s="7"/>
      <c r="E191" s="7"/>
      <c r="F191" s="8"/>
      <c r="G191" s="120" t="s">
        <v>256</v>
      </c>
      <c r="H191" s="116"/>
      <c r="I191" s="116"/>
      <c r="J191" s="117"/>
      <c r="K191" s="71"/>
      <c r="L191" s="7"/>
      <c r="M191" s="7"/>
      <c r="N191" s="8"/>
      <c r="O191" s="119"/>
      <c r="P191" s="7"/>
      <c r="Q191" s="8"/>
      <c r="R191" s="119"/>
      <c r="S191" s="8"/>
      <c r="T191" s="119" t="s">
        <v>255</v>
      </c>
      <c r="U191" s="8"/>
      <c r="V191" s="128"/>
      <c r="W191" s="8"/>
      <c r="X191" s="71"/>
      <c r="Y191" s="8"/>
    </row>
    <row r="192" ht="22.5" customHeight="1">
      <c r="A192" s="122">
        <v>4.0</v>
      </c>
      <c r="B192" s="54" t="s">
        <v>243</v>
      </c>
      <c r="C192" s="87" t="s">
        <v>244</v>
      </c>
      <c r="D192" s="7"/>
      <c r="E192" s="7"/>
      <c r="F192" s="8"/>
      <c r="G192" s="129" t="s">
        <v>262</v>
      </c>
      <c r="H192" s="116"/>
      <c r="I192" s="116"/>
      <c r="J192" s="117"/>
      <c r="K192" s="71"/>
      <c r="L192" s="7"/>
      <c r="M192" s="7"/>
      <c r="N192" s="8"/>
      <c r="O192" s="119" t="s">
        <v>258</v>
      </c>
      <c r="P192" s="7"/>
      <c r="Q192" s="8"/>
      <c r="R192" s="119"/>
      <c r="S192" s="8"/>
      <c r="T192" s="119"/>
      <c r="U192" s="8"/>
      <c r="V192" s="128"/>
      <c r="W192" s="8"/>
      <c r="X192" s="71"/>
      <c r="Y192" s="8"/>
    </row>
    <row r="193" ht="22.5" customHeight="1"/>
    <row r="194" ht="22.5" customHeight="1"/>
    <row r="195" ht="22.5" customHeight="1"/>
    <row r="196" ht="22.5" customHeight="1"/>
    <row r="197" ht="22.5" customHeight="1">
      <c r="F197" s="138" t="s">
        <v>268</v>
      </c>
    </row>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987">
    <mergeCell ref="C155:F155"/>
    <mergeCell ref="G155:J155"/>
    <mergeCell ref="C156:F156"/>
    <mergeCell ref="G156:J156"/>
    <mergeCell ref="C157:F157"/>
    <mergeCell ref="C158:F158"/>
    <mergeCell ref="C159:F159"/>
    <mergeCell ref="C160:F160"/>
    <mergeCell ref="C161:F161"/>
    <mergeCell ref="C163:F163"/>
    <mergeCell ref="G163:J163"/>
    <mergeCell ref="C164:F164"/>
    <mergeCell ref="G164:J164"/>
    <mergeCell ref="C165:F165"/>
    <mergeCell ref="C166:F166"/>
    <mergeCell ref="C167:F167"/>
    <mergeCell ref="C168:F168"/>
    <mergeCell ref="C169:F169"/>
    <mergeCell ref="C170:F170"/>
    <mergeCell ref="C172:F172"/>
    <mergeCell ref="G172:J172"/>
    <mergeCell ref="C173:F173"/>
    <mergeCell ref="G173:J173"/>
    <mergeCell ref="C174:F174"/>
    <mergeCell ref="C175:F175"/>
    <mergeCell ref="C176:F176"/>
    <mergeCell ref="C177:F177"/>
    <mergeCell ref="G179:J179"/>
    <mergeCell ref="G180:J180"/>
    <mergeCell ref="C187:F187"/>
    <mergeCell ref="G187:J187"/>
    <mergeCell ref="C188:F188"/>
    <mergeCell ref="G188:J188"/>
    <mergeCell ref="C189:F189"/>
    <mergeCell ref="C190:F190"/>
    <mergeCell ref="C191:F191"/>
    <mergeCell ref="C192:F192"/>
    <mergeCell ref="C179:F179"/>
    <mergeCell ref="C180:F180"/>
    <mergeCell ref="C181:F181"/>
    <mergeCell ref="C182:F182"/>
    <mergeCell ref="C183:F183"/>
    <mergeCell ref="C184:F184"/>
    <mergeCell ref="C185:F185"/>
    <mergeCell ref="C134:F134"/>
    <mergeCell ref="C135:F135"/>
    <mergeCell ref="C136:F136"/>
    <mergeCell ref="C137:F137"/>
    <mergeCell ref="C138:F138"/>
    <mergeCell ref="C139:F139"/>
    <mergeCell ref="G141:J141"/>
    <mergeCell ref="G142:J142"/>
    <mergeCell ref="C141:F141"/>
    <mergeCell ref="C142:F142"/>
    <mergeCell ref="C143:F143"/>
    <mergeCell ref="C144:F144"/>
    <mergeCell ref="C145:F145"/>
    <mergeCell ref="C146:F146"/>
    <mergeCell ref="G148:J148"/>
    <mergeCell ref="K153:N153"/>
    <mergeCell ref="O153:Q153"/>
    <mergeCell ref="R153:S153"/>
    <mergeCell ref="T153:U153"/>
    <mergeCell ref="V153:W153"/>
    <mergeCell ref="X153:Y153"/>
    <mergeCell ref="K155:W155"/>
    <mergeCell ref="T157:U157"/>
    <mergeCell ref="V157:W157"/>
    <mergeCell ref="T158:U158"/>
    <mergeCell ref="V158:W158"/>
    <mergeCell ref="X158:Y158"/>
    <mergeCell ref="T159:U159"/>
    <mergeCell ref="V159:W159"/>
    <mergeCell ref="X159:Y159"/>
    <mergeCell ref="K156:N156"/>
    <mergeCell ref="O156:Q156"/>
    <mergeCell ref="R156:S156"/>
    <mergeCell ref="T156:U156"/>
    <mergeCell ref="V156:W156"/>
    <mergeCell ref="X156:Y156"/>
    <mergeCell ref="K157:N157"/>
    <mergeCell ref="X157:Y157"/>
    <mergeCell ref="O157:Q157"/>
    <mergeCell ref="R157:S157"/>
    <mergeCell ref="K158:N158"/>
    <mergeCell ref="O158:Q158"/>
    <mergeCell ref="R158:S158"/>
    <mergeCell ref="O159:Q159"/>
    <mergeCell ref="R159:S159"/>
    <mergeCell ref="T165:U165"/>
    <mergeCell ref="V165:W165"/>
    <mergeCell ref="O173:Q173"/>
    <mergeCell ref="R173:S173"/>
    <mergeCell ref="O169:Q169"/>
    <mergeCell ref="R169:S169"/>
    <mergeCell ref="K170:N170"/>
    <mergeCell ref="O170:Q170"/>
    <mergeCell ref="R170:S170"/>
    <mergeCell ref="K172:W172"/>
    <mergeCell ref="K173:N173"/>
    <mergeCell ref="O175:Q175"/>
    <mergeCell ref="R175:S175"/>
    <mergeCell ref="K174:N174"/>
    <mergeCell ref="O174:Q174"/>
    <mergeCell ref="R174:S174"/>
    <mergeCell ref="T174:U174"/>
    <mergeCell ref="V174:W174"/>
    <mergeCell ref="X174:Y174"/>
    <mergeCell ref="K175:N175"/>
    <mergeCell ref="X175:Y175"/>
    <mergeCell ref="T175:U175"/>
    <mergeCell ref="V175:W175"/>
    <mergeCell ref="O176:Q176"/>
    <mergeCell ref="R176:S176"/>
    <mergeCell ref="T176:U176"/>
    <mergeCell ref="V176:W176"/>
    <mergeCell ref="X176:Y176"/>
    <mergeCell ref="K176:N176"/>
    <mergeCell ref="O177:Q177"/>
    <mergeCell ref="R177:S177"/>
    <mergeCell ref="T177:U177"/>
    <mergeCell ref="V177:W177"/>
    <mergeCell ref="X177:Y177"/>
    <mergeCell ref="K179:W179"/>
    <mergeCell ref="T182:U182"/>
    <mergeCell ref="V182:W182"/>
    <mergeCell ref="T183:U183"/>
    <mergeCell ref="V183:W183"/>
    <mergeCell ref="X183:Y183"/>
    <mergeCell ref="T184:U184"/>
    <mergeCell ref="V184:W184"/>
    <mergeCell ref="X184:Y184"/>
    <mergeCell ref="K181:N181"/>
    <mergeCell ref="O181:Q181"/>
    <mergeCell ref="R181:S181"/>
    <mergeCell ref="T181:U181"/>
    <mergeCell ref="V181:W181"/>
    <mergeCell ref="X181:Y181"/>
    <mergeCell ref="K182:N182"/>
    <mergeCell ref="X182:Y182"/>
    <mergeCell ref="O182:Q182"/>
    <mergeCell ref="R182:S182"/>
    <mergeCell ref="K183:N183"/>
    <mergeCell ref="O183:Q183"/>
    <mergeCell ref="R183:S183"/>
    <mergeCell ref="O184:Q184"/>
    <mergeCell ref="R184:S184"/>
    <mergeCell ref="K184:N184"/>
    <mergeCell ref="O185:Q185"/>
    <mergeCell ref="R185:S185"/>
    <mergeCell ref="T185:U185"/>
    <mergeCell ref="V185:W185"/>
    <mergeCell ref="X185:Y185"/>
    <mergeCell ref="K187:W187"/>
    <mergeCell ref="K185:N185"/>
    <mergeCell ref="K188:N188"/>
    <mergeCell ref="O188:Q188"/>
    <mergeCell ref="R188:S188"/>
    <mergeCell ref="T188:U188"/>
    <mergeCell ref="V188:W188"/>
    <mergeCell ref="X188:Y188"/>
    <mergeCell ref="O190:Q190"/>
    <mergeCell ref="R190:S190"/>
    <mergeCell ref="K191:N191"/>
    <mergeCell ref="O191:Q191"/>
    <mergeCell ref="R191:S191"/>
    <mergeCell ref="K192:N192"/>
    <mergeCell ref="O192:Q192"/>
    <mergeCell ref="R192:S192"/>
    <mergeCell ref="T190:U190"/>
    <mergeCell ref="V190:W190"/>
    <mergeCell ref="T191:U191"/>
    <mergeCell ref="V191:W191"/>
    <mergeCell ref="X191:Y191"/>
    <mergeCell ref="T192:U192"/>
    <mergeCell ref="V192:W192"/>
    <mergeCell ref="X192:Y192"/>
    <mergeCell ref="K189:N189"/>
    <mergeCell ref="O189:Q189"/>
    <mergeCell ref="R189:S189"/>
    <mergeCell ref="T189:U189"/>
    <mergeCell ref="V189:W189"/>
    <mergeCell ref="X189:Y189"/>
    <mergeCell ref="K190:N190"/>
    <mergeCell ref="X190:Y190"/>
    <mergeCell ref="K164:N164"/>
    <mergeCell ref="O164:Q164"/>
    <mergeCell ref="R164:S164"/>
    <mergeCell ref="T164:U164"/>
    <mergeCell ref="V164:W164"/>
    <mergeCell ref="X164:Y164"/>
    <mergeCell ref="K165:N165"/>
    <mergeCell ref="X165:Y165"/>
    <mergeCell ref="O165:Q165"/>
    <mergeCell ref="R165:S165"/>
    <mergeCell ref="O166:Q166"/>
    <mergeCell ref="R166:S166"/>
    <mergeCell ref="T166:U166"/>
    <mergeCell ref="V166:W166"/>
    <mergeCell ref="X166:Y166"/>
    <mergeCell ref="K166:N166"/>
    <mergeCell ref="K167:N167"/>
    <mergeCell ref="O167:Q167"/>
    <mergeCell ref="R167:S167"/>
    <mergeCell ref="T167:U167"/>
    <mergeCell ref="V167:W167"/>
    <mergeCell ref="X167:Y167"/>
    <mergeCell ref="T169:U169"/>
    <mergeCell ref="V169:W169"/>
    <mergeCell ref="T170:U170"/>
    <mergeCell ref="V170:W170"/>
    <mergeCell ref="X170:Y170"/>
    <mergeCell ref="K168:N168"/>
    <mergeCell ref="O168:Q168"/>
    <mergeCell ref="R168:S168"/>
    <mergeCell ref="T168:U168"/>
    <mergeCell ref="V168:W168"/>
    <mergeCell ref="X168:Y168"/>
    <mergeCell ref="K169:N169"/>
    <mergeCell ref="X169:Y169"/>
    <mergeCell ref="T173:U173"/>
    <mergeCell ref="V173:W173"/>
    <mergeCell ref="X173:Y173"/>
    <mergeCell ref="K177:N177"/>
    <mergeCell ref="K180:N180"/>
    <mergeCell ref="O180:Q180"/>
    <mergeCell ref="R180:S180"/>
    <mergeCell ref="T180:U180"/>
    <mergeCell ref="V180:W180"/>
    <mergeCell ref="X180:Y180"/>
    <mergeCell ref="K98:N98"/>
    <mergeCell ref="K100:W100"/>
    <mergeCell ref="K97:N97"/>
    <mergeCell ref="O97:Q97"/>
    <mergeCell ref="R97:S97"/>
    <mergeCell ref="T97:U97"/>
    <mergeCell ref="V97:W97"/>
    <mergeCell ref="X97:Y97"/>
    <mergeCell ref="X98:Y98"/>
    <mergeCell ref="K101:N101"/>
    <mergeCell ref="K102:N102"/>
    <mergeCell ref="O102:Q102"/>
    <mergeCell ref="R102:S102"/>
    <mergeCell ref="T102:U102"/>
    <mergeCell ref="V102:W102"/>
    <mergeCell ref="X102:Y102"/>
    <mergeCell ref="C101:F101"/>
    <mergeCell ref="G101:J101"/>
    <mergeCell ref="O101:Q101"/>
    <mergeCell ref="R101:S101"/>
    <mergeCell ref="T101:U101"/>
    <mergeCell ref="V101:W101"/>
    <mergeCell ref="X101:Y101"/>
    <mergeCell ref="O94:Q94"/>
    <mergeCell ref="R94:S94"/>
    <mergeCell ref="V94:W94"/>
    <mergeCell ref="X94:Y94"/>
    <mergeCell ref="C92:F92"/>
    <mergeCell ref="C93:F93"/>
    <mergeCell ref="G93:J93"/>
    <mergeCell ref="O93:Q93"/>
    <mergeCell ref="R93:S93"/>
    <mergeCell ref="T93:U93"/>
    <mergeCell ref="T94:U94"/>
    <mergeCell ref="K93:N93"/>
    <mergeCell ref="K94:N94"/>
    <mergeCell ref="O95:Q95"/>
    <mergeCell ref="R95:S95"/>
    <mergeCell ref="T95:U95"/>
    <mergeCell ref="V95:W95"/>
    <mergeCell ref="X95:Y95"/>
    <mergeCell ref="K95:N95"/>
    <mergeCell ref="K96:N96"/>
    <mergeCell ref="O96:Q96"/>
    <mergeCell ref="R96:S96"/>
    <mergeCell ref="T96:U96"/>
    <mergeCell ref="V96:W96"/>
    <mergeCell ref="X96:Y96"/>
    <mergeCell ref="O98:Q98"/>
    <mergeCell ref="R98:S98"/>
    <mergeCell ref="T98:U98"/>
    <mergeCell ref="V98:W98"/>
    <mergeCell ref="C102:F102"/>
    <mergeCell ref="C103:F103"/>
    <mergeCell ref="O103:Q103"/>
    <mergeCell ref="R103:S103"/>
    <mergeCell ref="T103:U103"/>
    <mergeCell ref="V103:W103"/>
    <mergeCell ref="X103:Y103"/>
    <mergeCell ref="O120:Q120"/>
    <mergeCell ref="R120:S120"/>
    <mergeCell ref="K119:N119"/>
    <mergeCell ref="O119:Q119"/>
    <mergeCell ref="R119:S119"/>
    <mergeCell ref="T119:U119"/>
    <mergeCell ref="V119:W119"/>
    <mergeCell ref="X119:Y119"/>
    <mergeCell ref="K120:N120"/>
    <mergeCell ref="X120:Y120"/>
    <mergeCell ref="T120:U120"/>
    <mergeCell ref="V120:W120"/>
    <mergeCell ref="O121:Q121"/>
    <mergeCell ref="R121:S121"/>
    <mergeCell ref="T121:U121"/>
    <mergeCell ref="V121:W121"/>
    <mergeCell ref="X121:Y121"/>
    <mergeCell ref="K121:N121"/>
    <mergeCell ref="K122:N122"/>
    <mergeCell ref="O122:Q122"/>
    <mergeCell ref="R122:S122"/>
    <mergeCell ref="T122:U122"/>
    <mergeCell ref="V122:W122"/>
    <mergeCell ref="X122:Y122"/>
    <mergeCell ref="C94:F94"/>
    <mergeCell ref="C95:F95"/>
    <mergeCell ref="C96:F96"/>
    <mergeCell ref="C97:F97"/>
    <mergeCell ref="C98:F98"/>
    <mergeCell ref="C100:F100"/>
    <mergeCell ref="G100:J100"/>
    <mergeCell ref="C105:F105"/>
    <mergeCell ref="G105:J105"/>
    <mergeCell ref="C106:F106"/>
    <mergeCell ref="G106:J106"/>
    <mergeCell ref="C107:F107"/>
    <mergeCell ref="C108:F108"/>
    <mergeCell ref="C109:F109"/>
    <mergeCell ref="C110:F110"/>
    <mergeCell ref="C111:F111"/>
    <mergeCell ref="C113:F113"/>
    <mergeCell ref="G113:J113"/>
    <mergeCell ref="C114:F114"/>
    <mergeCell ref="G114:J114"/>
    <mergeCell ref="C115:F115"/>
    <mergeCell ref="C116:F116"/>
    <mergeCell ref="C118:F118"/>
    <mergeCell ref="G118:J118"/>
    <mergeCell ref="C119:F119"/>
    <mergeCell ref="G119:J119"/>
    <mergeCell ref="C120:F120"/>
    <mergeCell ref="C121:F121"/>
    <mergeCell ref="C122:F122"/>
    <mergeCell ref="C123:F123"/>
    <mergeCell ref="C125:F125"/>
    <mergeCell ref="G125:J125"/>
    <mergeCell ref="C126:F126"/>
    <mergeCell ref="G126:J126"/>
    <mergeCell ref="C127:F127"/>
    <mergeCell ref="C128:F128"/>
    <mergeCell ref="C129:F129"/>
    <mergeCell ref="C130:F130"/>
    <mergeCell ref="C131:F131"/>
    <mergeCell ref="C133:F133"/>
    <mergeCell ref="G133:J133"/>
    <mergeCell ref="G134:J134"/>
    <mergeCell ref="C148:F148"/>
    <mergeCell ref="C149:F149"/>
    <mergeCell ref="G149:J149"/>
    <mergeCell ref="C150:F150"/>
    <mergeCell ref="C151:F151"/>
    <mergeCell ref="C152:F152"/>
    <mergeCell ref="C153:F153"/>
    <mergeCell ref="K159:N159"/>
    <mergeCell ref="K160:N160"/>
    <mergeCell ref="O160:Q160"/>
    <mergeCell ref="R160:S160"/>
    <mergeCell ref="T160:U160"/>
    <mergeCell ref="V160:W160"/>
    <mergeCell ref="X160:Y160"/>
    <mergeCell ref="K161:N161"/>
    <mergeCell ref="O161:Q161"/>
    <mergeCell ref="R161:S161"/>
    <mergeCell ref="T161:U161"/>
    <mergeCell ref="V161:W161"/>
    <mergeCell ref="X161:Y161"/>
    <mergeCell ref="K163:W163"/>
    <mergeCell ref="T62:U62"/>
    <mergeCell ref="V62:W62"/>
    <mergeCell ref="T63:U63"/>
    <mergeCell ref="V63:W63"/>
    <mergeCell ref="X63:Y63"/>
    <mergeCell ref="O62:Q62"/>
    <mergeCell ref="R62:S62"/>
    <mergeCell ref="K63:N63"/>
    <mergeCell ref="O63:Q63"/>
    <mergeCell ref="R63:S63"/>
    <mergeCell ref="G65:J65"/>
    <mergeCell ref="K65:W65"/>
    <mergeCell ref="T56:U56"/>
    <mergeCell ref="V56:W56"/>
    <mergeCell ref="K55:N55"/>
    <mergeCell ref="O55:Q55"/>
    <mergeCell ref="R55:S55"/>
    <mergeCell ref="T55:U55"/>
    <mergeCell ref="V55:W55"/>
    <mergeCell ref="X55:Y55"/>
    <mergeCell ref="K56:N56"/>
    <mergeCell ref="X56:Y56"/>
    <mergeCell ref="R59:S59"/>
    <mergeCell ref="T59:U59"/>
    <mergeCell ref="X59:Y59"/>
    <mergeCell ref="O56:Q56"/>
    <mergeCell ref="R56:S56"/>
    <mergeCell ref="G58:J58"/>
    <mergeCell ref="K58:W58"/>
    <mergeCell ref="G59:J59"/>
    <mergeCell ref="O59:Q59"/>
    <mergeCell ref="V59:W59"/>
    <mergeCell ref="K59:N59"/>
    <mergeCell ref="K60:N60"/>
    <mergeCell ref="O60:Q60"/>
    <mergeCell ref="R60:S60"/>
    <mergeCell ref="T60:U60"/>
    <mergeCell ref="V60:W60"/>
    <mergeCell ref="X60:Y60"/>
    <mergeCell ref="K61:N61"/>
    <mergeCell ref="O61:Q61"/>
    <mergeCell ref="R61:S61"/>
    <mergeCell ref="T61:U61"/>
    <mergeCell ref="V61:W61"/>
    <mergeCell ref="X61:Y61"/>
    <mergeCell ref="K62:N62"/>
    <mergeCell ref="X62:Y62"/>
    <mergeCell ref="G66:J66"/>
    <mergeCell ref="K66:N66"/>
    <mergeCell ref="O66:Q66"/>
    <mergeCell ref="R66:S66"/>
    <mergeCell ref="T66:U66"/>
    <mergeCell ref="V66:W66"/>
    <mergeCell ref="X66:Y66"/>
    <mergeCell ref="V74:W74"/>
    <mergeCell ref="X74:Y74"/>
    <mergeCell ref="G73:J73"/>
    <mergeCell ref="K73:W73"/>
    <mergeCell ref="G74:J74"/>
    <mergeCell ref="K74:N74"/>
    <mergeCell ref="O74:Q74"/>
    <mergeCell ref="R74:S74"/>
    <mergeCell ref="T74:U74"/>
    <mergeCell ref="G52:J52"/>
    <mergeCell ref="G53:J53"/>
    <mergeCell ref="O53:Q53"/>
    <mergeCell ref="R53:S53"/>
    <mergeCell ref="T53:U53"/>
    <mergeCell ref="V53:W53"/>
    <mergeCell ref="X53:Y53"/>
    <mergeCell ref="K50:N50"/>
    <mergeCell ref="O50:Q50"/>
    <mergeCell ref="R50:S50"/>
    <mergeCell ref="T50:U50"/>
    <mergeCell ref="V50:W50"/>
    <mergeCell ref="X50:Y50"/>
    <mergeCell ref="K52:W52"/>
    <mergeCell ref="T68:U68"/>
    <mergeCell ref="V68:W68"/>
    <mergeCell ref="T69:U69"/>
    <mergeCell ref="V69:W69"/>
    <mergeCell ref="X69:Y69"/>
    <mergeCell ref="T70:U70"/>
    <mergeCell ref="V70:W70"/>
    <mergeCell ref="X70:Y70"/>
    <mergeCell ref="K67:N67"/>
    <mergeCell ref="O67:Q67"/>
    <mergeCell ref="R67:S67"/>
    <mergeCell ref="T67:U67"/>
    <mergeCell ref="V67:W67"/>
    <mergeCell ref="X67:Y67"/>
    <mergeCell ref="K68:N68"/>
    <mergeCell ref="X68:Y68"/>
    <mergeCell ref="O68:Q68"/>
    <mergeCell ref="R68:S68"/>
    <mergeCell ref="K69:N69"/>
    <mergeCell ref="O69:Q69"/>
    <mergeCell ref="R69:S69"/>
    <mergeCell ref="O70:Q70"/>
    <mergeCell ref="R70:S70"/>
    <mergeCell ref="K70:N70"/>
    <mergeCell ref="K71:N71"/>
    <mergeCell ref="O71:Q71"/>
    <mergeCell ref="R71:S71"/>
    <mergeCell ref="T71:U71"/>
    <mergeCell ref="V71:W71"/>
    <mergeCell ref="X71:Y71"/>
    <mergeCell ref="T76:U76"/>
    <mergeCell ref="V76:W76"/>
    <mergeCell ref="X76:Y76"/>
    <mergeCell ref="O82:Q82"/>
    <mergeCell ref="R82:S82"/>
    <mergeCell ref="K83:N83"/>
    <mergeCell ref="O83:Q83"/>
    <mergeCell ref="R83:S83"/>
    <mergeCell ref="O84:Q84"/>
    <mergeCell ref="R84:S84"/>
    <mergeCell ref="K84:N84"/>
    <mergeCell ref="K85:N85"/>
    <mergeCell ref="O85:Q85"/>
    <mergeCell ref="R85:S85"/>
    <mergeCell ref="T85:U85"/>
    <mergeCell ref="V85:W85"/>
    <mergeCell ref="X85:Y85"/>
    <mergeCell ref="K75:N75"/>
    <mergeCell ref="O75:Q75"/>
    <mergeCell ref="R75:S75"/>
    <mergeCell ref="T75:U75"/>
    <mergeCell ref="V75:W75"/>
    <mergeCell ref="X75:Y75"/>
    <mergeCell ref="K76:N76"/>
    <mergeCell ref="O76:Q76"/>
    <mergeCell ref="R76:S76"/>
    <mergeCell ref="O77:Q77"/>
    <mergeCell ref="R77:S77"/>
    <mergeCell ref="T77:U77"/>
    <mergeCell ref="V77:W77"/>
    <mergeCell ref="X77:Y77"/>
    <mergeCell ref="T80:U80"/>
    <mergeCell ref="V80:W80"/>
    <mergeCell ref="X80:Y80"/>
    <mergeCell ref="K77:N77"/>
    <mergeCell ref="G79:J79"/>
    <mergeCell ref="K79:W79"/>
    <mergeCell ref="G80:J80"/>
    <mergeCell ref="K80:N80"/>
    <mergeCell ref="O80:Q80"/>
    <mergeCell ref="R80:S80"/>
    <mergeCell ref="T82:U82"/>
    <mergeCell ref="V82:W82"/>
    <mergeCell ref="T83:U83"/>
    <mergeCell ref="V83:W83"/>
    <mergeCell ref="X83:Y83"/>
    <mergeCell ref="T84:U84"/>
    <mergeCell ref="V84:W84"/>
    <mergeCell ref="X84:Y84"/>
    <mergeCell ref="K81:N81"/>
    <mergeCell ref="O81:Q81"/>
    <mergeCell ref="R81:S81"/>
    <mergeCell ref="T81:U81"/>
    <mergeCell ref="V81:W81"/>
    <mergeCell ref="X81:Y81"/>
    <mergeCell ref="K82:N82"/>
    <mergeCell ref="X82:Y82"/>
    <mergeCell ref="G87:J87"/>
    <mergeCell ref="K87:W87"/>
    <mergeCell ref="F12:W12"/>
    <mergeCell ref="X12:Y12"/>
    <mergeCell ref="F13:W13"/>
    <mergeCell ref="X13:Y13"/>
    <mergeCell ref="F14:W14"/>
    <mergeCell ref="X14:Y14"/>
    <mergeCell ref="X15:Y15"/>
    <mergeCell ref="F15:W15"/>
    <mergeCell ref="F16:W16"/>
    <mergeCell ref="X16:Y16"/>
    <mergeCell ref="F17:W17"/>
    <mergeCell ref="X17:Y17"/>
    <mergeCell ref="F18:W18"/>
    <mergeCell ref="X18:Y18"/>
    <mergeCell ref="A1:Y1"/>
    <mergeCell ref="A2:Y2"/>
    <mergeCell ref="B3:E3"/>
    <mergeCell ref="F3:W3"/>
    <mergeCell ref="X3:Y3"/>
    <mergeCell ref="F4:W4"/>
    <mergeCell ref="X4:Y4"/>
    <mergeCell ref="F5:W5"/>
    <mergeCell ref="X5:Y5"/>
    <mergeCell ref="F6:W6"/>
    <mergeCell ref="X6:Y6"/>
    <mergeCell ref="F7:W7"/>
    <mergeCell ref="X7:Y7"/>
    <mergeCell ref="X8:Y8"/>
    <mergeCell ref="B4:E4"/>
    <mergeCell ref="B5:E5"/>
    <mergeCell ref="B6:E6"/>
    <mergeCell ref="B7:E7"/>
    <mergeCell ref="B8:E8"/>
    <mergeCell ref="B9:E9"/>
    <mergeCell ref="B10:E10"/>
    <mergeCell ref="F8:W8"/>
    <mergeCell ref="F9:W9"/>
    <mergeCell ref="X9:Y9"/>
    <mergeCell ref="F10:W10"/>
    <mergeCell ref="X10:Y10"/>
    <mergeCell ref="F11:W11"/>
    <mergeCell ref="X11:Y11"/>
    <mergeCell ref="B11:E11"/>
    <mergeCell ref="B12:E12"/>
    <mergeCell ref="B13:E13"/>
    <mergeCell ref="B14:E14"/>
    <mergeCell ref="B15:E15"/>
    <mergeCell ref="B16:E16"/>
    <mergeCell ref="B17:E17"/>
    <mergeCell ref="F19:W19"/>
    <mergeCell ref="X19:Y19"/>
    <mergeCell ref="F20:W20"/>
    <mergeCell ref="X20:Y20"/>
    <mergeCell ref="F21:W21"/>
    <mergeCell ref="X21:Y21"/>
    <mergeCell ref="X22:Y22"/>
    <mergeCell ref="F22:W22"/>
    <mergeCell ref="F23:W23"/>
    <mergeCell ref="X23:Y23"/>
    <mergeCell ref="F24:W24"/>
    <mergeCell ref="X24:Y24"/>
    <mergeCell ref="F25:W25"/>
    <mergeCell ref="X25:Y25"/>
    <mergeCell ref="T31:U31"/>
    <mergeCell ref="V31:W31"/>
    <mergeCell ref="T32:U32"/>
    <mergeCell ref="V32:W32"/>
    <mergeCell ref="X32:Y32"/>
    <mergeCell ref="T33:U33"/>
    <mergeCell ref="V33:W33"/>
    <mergeCell ref="X33:Y33"/>
    <mergeCell ref="F26:W26"/>
    <mergeCell ref="X26:Y26"/>
    <mergeCell ref="A28:Y28"/>
    <mergeCell ref="G30:J30"/>
    <mergeCell ref="K30:W30"/>
    <mergeCell ref="G31:J31"/>
    <mergeCell ref="K31:N31"/>
    <mergeCell ref="X31:Y31"/>
    <mergeCell ref="O31:Q31"/>
    <mergeCell ref="R31:S31"/>
    <mergeCell ref="K32:N32"/>
    <mergeCell ref="O32:Q32"/>
    <mergeCell ref="R32:S32"/>
    <mergeCell ref="O33:Q33"/>
    <mergeCell ref="R33:S33"/>
    <mergeCell ref="K33:N33"/>
    <mergeCell ref="K34:N34"/>
    <mergeCell ref="O34:Q34"/>
    <mergeCell ref="R34:S34"/>
    <mergeCell ref="T34:U34"/>
    <mergeCell ref="V34:W34"/>
    <mergeCell ref="X34:Y34"/>
    <mergeCell ref="T36:U36"/>
    <mergeCell ref="V36:W36"/>
    <mergeCell ref="T37:U37"/>
    <mergeCell ref="V37:W37"/>
    <mergeCell ref="X37:Y37"/>
    <mergeCell ref="T38:U38"/>
    <mergeCell ref="V38:W38"/>
    <mergeCell ref="X38:Y38"/>
    <mergeCell ref="K35:N35"/>
    <mergeCell ref="O35:Q35"/>
    <mergeCell ref="R35:S35"/>
    <mergeCell ref="T35:U35"/>
    <mergeCell ref="V35:W35"/>
    <mergeCell ref="X35:Y35"/>
    <mergeCell ref="K36:N36"/>
    <mergeCell ref="X36:Y36"/>
    <mergeCell ref="O36:Q36"/>
    <mergeCell ref="R36:S36"/>
    <mergeCell ref="K37:N37"/>
    <mergeCell ref="O37:Q37"/>
    <mergeCell ref="R37:S37"/>
    <mergeCell ref="O38:Q38"/>
    <mergeCell ref="R38:S38"/>
    <mergeCell ref="R48:S48"/>
    <mergeCell ref="T48:U48"/>
    <mergeCell ref="X48:Y48"/>
    <mergeCell ref="K48:N48"/>
    <mergeCell ref="K49:N49"/>
    <mergeCell ref="O49:Q49"/>
    <mergeCell ref="R49:S49"/>
    <mergeCell ref="T49:U49"/>
    <mergeCell ref="V49:W49"/>
    <mergeCell ref="X49:Y49"/>
    <mergeCell ref="K38:N38"/>
    <mergeCell ref="O39:Q39"/>
    <mergeCell ref="R39:S39"/>
    <mergeCell ref="T39:U39"/>
    <mergeCell ref="V39:W39"/>
    <mergeCell ref="X39:Y39"/>
    <mergeCell ref="A40:Y40"/>
    <mergeCell ref="T43:U43"/>
    <mergeCell ref="V43:W43"/>
    <mergeCell ref="X43:Y43"/>
    <mergeCell ref="K39:N39"/>
    <mergeCell ref="G42:J42"/>
    <mergeCell ref="K42:W42"/>
    <mergeCell ref="G43:J43"/>
    <mergeCell ref="K43:N43"/>
    <mergeCell ref="O43:Q43"/>
    <mergeCell ref="R43:S43"/>
    <mergeCell ref="T45:U45"/>
    <mergeCell ref="V45:W45"/>
    <mergeCell ref="K44:N44"/>
    <mergeCell ref="O44:Q44"/>
    <mergeCell ref="R44:S44"/>
    <mergeCell ref="T44:U44"/>
    <mergeCell ref="V44:W44"/>
    <mergeCell ref="X44:Y44"/>
    <mergeCell ref="K45:N45"/>
    <mergeCell ref="X45:Y45"/>
    <mergeCell ref="O45:Q45"/>
    <mergeCell ref="R45:S45"/>
    <mergeCell ref="G47:J47"/>
    <mergeCell ref="K47:W47"/>
    <mergeCell ref="G48:J48"/>
    <mergeCell ref="O48:Q48"/>
    <mergeCell ref="V48:W48"/>
    <mergeCell ref="K53:N53"/>
    <mergeCell ref="K54:N54"/>
    <mergeCell ref="O54:Q54"/>
    <mergeCell ref="R54:S54"/>
    <mergeCell ref="T54:U54"/>
    <mergeCell ref="V54:W54"/>
    <mergeCell ref="X54:Y54"/>
    <mergeCell ref="B18:E18"/>
    <mergeCell ref="B19:E19"/>
    <mergeCell ref="B20:E20"/>
    <mergeCell ref="B21:E21"/>
    <mergeCell ref="B22:E22"/>
    <mergeCell ref="B23:E23"/>
    <mergeCell ref="B24:E24"/>
    <mergeCell ref="B25:E25"/>
    <mergeCell ref="B26:E26"/>
    <mergeCell ref="C30:F30"/>
    <mergeCell ref="C31:F31"/>
    <mergeCell ref="C32:F32"/>
    <mergeCell ref="C33:F33"/>
    <mergeCell ref="C34:F34"/>
    <mergeCell ref="C35:F35"/>
    <mergeCell ref="C36:F36"/>
    <mergeCell ref="C37:F37"/>
    <mergeCell ref="C38:F38"/>
    <mergeCell ref="C39:F39"/>
    <mergeCell ref="C42:F42"/>
    <mergeCell ref="C43:F43"/>
    <mergeCell ref="C44:F44"/>
    <mergeCell ref="C45:F45"/>
    <mergeCell ref="C47:F47"/>
    <mergeCell ref="C48:F48"/>
    <mergeCell ref="C49:F49"/>
    <mergeCell ref="C50:F50"/>
    <mergeCell ref="C52:F52"/>
    <mergeCell ref="C53:F53"/>
    <mergeCell ref="C54:F54"/>
    <mergeCell ref="C55:F55"/>
    <mergeCell ref="C56:F56"/>
    <mergeCell ref="C58:F58"/>
    <mergeCell ref="C59:F59"/>
    <mergeCell ref="C60:F60"/>
    <mergeCell ref="C61:F61"/>
    <mergeCell ref="C62:F62"/>
    <mergeCell ref="C63:F63"/>
    <mergeCell ref="C65:F65"/>
    <mergeCell ref="C66:F66"/>
    <mergeCell ref="C67:F67"/>
    <mergeCell ref="C68:F68"/>
    <mergeCell ref="C69:F69"/>
    <mergeCell ref="C70:F70"/>
    <mergeCell ref="C71:F71"/>
    <mergeCell ref="C73:F73"/>
    <mergeCell ref="C74:F74"/>
    <mergeCell ref="C75:F75"/>
    <mergeCell ref="C76:F76"/>
    <mergeCell ref="T88:U88"/>
    <mergeCell ref="V88:W88"/>
    <mergeCell ref="X88:Y88"/>
    <mergeCell ref="K88:N88"/>
    <mergeCell ref="K89:N89"/>
    <mergeCell ref="G92:J92"/>
    <mergeCell ref="K92:W92"/>
    <mergeCell ref="O89:Q89"/>
    <mergeCell ref="R89:S89"/>
    <mergeCell ref="T89:U89"/>
    <mergeCell ref="V89:W89"/>
    <mergeCell ref="X89:Y89"/>
    <mergeCell ref="C90:F90"/>
    <mergeCell ref="K90:N90"/>
    <mergeCell ref="O90:Q90"/>
    <mergeCell ref="R90:S90"/>
    <mergeCell ref="T90:U90"/>
    <mergeCell ref="V90:W90"/>
    <mergeCell ref="X90:Y90"/>
    <mergeCell ref="C85:F85"/>
    <mergeCell ref="C87:F87"/>
    <mergeCell ref="C88:F88"/>
    <mergeCell ref="G88:J88"/>
    <mergeCell ref="O88:Q88"/>
    <mergeCell ref="R88:S88"/>
    <mergeCell ref="C89:F89"/>
    <mergeCell ref="C77:F77"/>
    <mergeCell ref="C79:F79"/>
    <mergeCell ref="C80:F80"/>
    <mergeCell ref="C81:F81"/>
    <mergeCell ref="C82:F82"/>
    <mergeCell ref="C83:F83"/>
    <mergeCell ref="C84:F84"/>
    <mergeCell ref="V93:W93"/>
    <mergeCell ref="X93:Y93"/>
    <mergeCell ref="K114:N114"/>
    <mergeCell ref="K115:N115"/>
    <mergeCell ref="O115:Q115"/>
    <mergeCell ref="R115:S115"/>
    <mergeCell ref="T115:U115"/>
    <mergeCell ref="V115:W115"/>
    <mergeCell ref="X115:Y115"/>
    <mergeCell ref="K116:N116"/>
    <mergeCell ref="O116:Q116"/>
    <mergeCell ref="R116:S116"/>
    <mergeCell ref="T116:U116"/>
    <mergeCell ref="V116:W116"/>
    <mergeCell ref="X116:Y116"/>
    <mergeCell ref="K118:W118"/>
    <mergeCell ref="K103:N103"/>
    <mergeCell ref="K105:W105"/>
    <mergeCell ref="O106:Q106"/>
    <mergeCell ref="R106:S106"/>
    <mergeCell ref="T106:U106"/>
    <mergeCell ref="V106:W106"/>
    <mergeCell ref="X106:Y106"/>
    <mergeCell ref="K106:N106"/>
    <mergeCell ref="K107:N107"/>
    <mergeCell ref="O107:Q107"/>
    <mergeCell ref="R107:S107"/>
    <mergeCell ref="T107:U107"/>
    <mergeCell ref="V107:W107"/>
    <mergeCell ref="X107:Y107"/>
    <mergeCell ref="T109:U109"/>
    <mergeCell ref="V109:W109"/>
    <mergeCell ref="T110:U110"/>
    <mergeCell ref="V110:W110"/>
    <mergeCell ref="X110:Y110"/>
    <mergeCell ref="T111:U111"/>
    <mergeCell ref="V111:W111"/>
    <mergeCell ref="X111:Y111"/>
    <mergeCell ref="K108:N108"/>
    <mergeCell ref="O108:Q108"/>
    <mergeCell ref="R108:S108"/>
    <mergeCell ref="T108:U108"/>
    <mergeCell ref="V108:W108"/>
    <mergeCell ref="X108:Y108"/>
    <mergeCell ref="K109:N109"/>
    <mergeCell ref="X109:Y109"/>
    <mergeCell ref="O109:Q109"/>
    <mergeCell ref="R109:S109"/>
    <mergeCell ref="K110:N110"/>
    <mergeCell ref="O110:Q110"/>
    <mergeCell ref="R110:S110"/>
    <mergeCell ref="O111:Q111"/>
    <mergeCell ref="R111:S111"/>
    <mergeCell ref="K111:N111"/>
    <mergeCell ref="K113:W113"/>
    <mergeCell ref="O114:Q114"/>
    <mergeCell ref="R114:S114"/>
    <mergeCell ref="T114:U114"/>
    <mergeCell ref="V114:W114"/>
    <mergeCell ref="X114:Y114"/>
    <mergeCell ref="K123:N123"/>
    <mergeCell ref="O123:Q123"/>
    <mergeCell ref="R123:S123"/>
    <mergeCell ref="T123:U123"/>
    <mergeCell ref="V123:W123"/>
    <mergeCell ref="X123:Y123"/>
    <mergeCell ref="K125:W125"/>
    <mergeCell ref="K137:N137"/>
    <mergeCell ref="K138:N138"/>
    <mergeCell ref="O138:Q138"/>
    <mergeCell ref="R138:S138"/>
    <mergeCell ref="T138:U138"/>
    <mergeCell ref="V138:W138"/>
    <mergeCell ref="X138:Y138"/>
    <mergeCell ref="K139:N139"/>
    <mergeCell ref="O139:Q139"/>
    <mergeCell ref="R139:S139"/>
    <mergeCell ref="T139:U139"/>
    <mergeCell ref="V139:W139"/>
    <mergeCell ref="X139:Y139"/>
    <mergeCell ref="K141:W141"/>
    <mergeCell ref="T127:U127"/>
    <mergeCell ref="V127:W127"/>
    <mergeCell ref="T128:U128"/>
    <mergeCell ref="V128:W128"/>
    <mergeCell ref="X128:Y128"/>
    <mergeCell ref="T129:U129"/>
    <mergeCell ref="V129:W129"/>
    <mergeCell ref="X129:Y129"/>
    <mergeCell ref="K126:N126"/>
    <mergeCell ref="O126:Q126"/>
    <mergeCell ref="R126:S126"/>
    <mergeCell ref="T126:U126"/>
    <mergeCell ref="V126:W126"/>
    <mergeCell ref="X126:Y126"/>
    <mergeCell ref="K127:N127"/>
    <mergeCell ref="X127:Y127"/>
    <mergeCell ref="O127:Q127"/>
    <mergeCell ref="R127:S127"/>
    <mergeCell ref="K128:N128"/>
    <mergeCell ref="O128:Q128"/>
    <mergeCell ref="R128:S128"/>
    <mergeCell ref="O129:Q129"/>
    <mergeCell ref="R129:S129"/>
    <mergeCell ref="K129:N129"/>
    <mergeCell ref="K130:N130"/>
    <mergeCell ref="O130:Q130"/>
    <mergeCell ref="R130:S130"/>
    <mergeCell ref="T130:U130"/>
    <mergeCell ref="V130:W130"/>
    <mergeCell ref="X130:Y130"/>
    <mergeCell ref="K131:N131"/>
    <mergeCell ref="O131:Q131"/>
    <mergeCell ref="R131:S131"/>
    <mergeCell ref="T131:U131"/>
    <mergeCell ref="V131:W131"/>
    <mergeCell ref="X131:Y131"/>
    <mergeCell ref="K133:W133"/>
    <mergeCell ref="K134:N134"/>
    <mergeCell ref="O134:Q134"/>
    <mergeCell ref="R134:S134"/>
    <mergeCell ref="T134:U134"/>
    <mergeCell ref="V134:W134"/>
    <mergeCell ref="X134:Y134"/>
    <mergeCell ref="K135:N135"/>
    <mergeCell ref="X135:Y135"/>
    <mergeCell ref="K142:N142"/>
    <mergeCell ref="O142:Q142"/>
    <mergeCell ref="R142:S142"/>
    <mergeCell ref="T142:U142"/>
    <mergeCell ref="V142:W142"/>
    <mergeCell ref="X142:Y142"/>
    <mergeCell ref="O152:Q152"/>
    <mergeCell ref="R152:S152"/>
    <mergeCell ref="T152:U152"/>
    <mergeCell ref="V152:W152"/>
    <mergeCell ref="K151:N151"/>
    <mergeCell ref="O151:Q151"/>
    <mergeCell ref="R151:S151"/>
    <mergeCell ref="T151:U151"/>
    <mergeCell ref="V151:W151"/>
    <mergeCell ref="X151:Y151"/>
    <mergeCell ref="K152:N152"/>
    <mergeCell ref="X152:Y152"/>
    <mergeCell ref="T135:U135"/>
    <mergeCell ref="V135:W135"/>
    <mergeCell ref="T136:U136"/>
    <mergeCell ref="V136:W136"/>
    <mergeCell ref="X136:Y136"/>
    <mergeCell ref="T137:U137"/>
    <mergeCell ref="V137:W137"/>
    <mergeCell ref="X137:Y137"/>
    <mergeCell ref="O135:Q135"/>
    <mergeCell ref="R135:S135"/>
    <mergeCell ref="K136:N136"/>
    <mergeCell ref="O136:Q136"/>
    <mergeCell ref="R136:S136"/>
    <mergeCell ref="O137:Q137"/>
    <mergeCell ref="R137:S137"/>
    <mergeCell ref="T144:U144"/>
    <mergeCell ref="V144:W144"/>
    <mergeCell ref="T145:U145"/>
    <mergeCell ref="V145:W145"/>
    <mergeCell ref="X145:Y145"/>
    <mergeCell ref="T146:U146"/>
    <mergeCell ref="V146:W146"/>
    <mergeCell ref="X146:Y146"/>
    <mergeCell ref="K143:N143"/>
    <mergeCell ref="O143:Q143"/>
    <mergeCell ref="R143:S143"/>
    <mergeCell ref="T143:U143"/>
    <mergeCell ref="V143:W143"/>
    <mergeCell ref="X143:Y143"/>
    <mergeCell ref="K144:N144"/>
    <mergeCell ref="X144:Y144"/>
    <mergeCell ref="O144:Q144"/>
    <mergeCell ref="R144:S144"/>
    <mergeCell ref="K145:N145"/>
    <mergeCell ref="O145:Q145"/>
    <mergeCell ref="R145:S145"/>
    <mergeCell ref="O146:Q146"/>
    <mergeCell ref="R146:S146"/>
    <mergeCell ref="K146:N146"/>
    <mergeCell ref="K148:W148"/>
    <mergeCell ref="O149:Q149"/>
    <mergeCell ref="R149:S149"/>
    <mergeCell ref="T149:U149"/>
    <mergeCell ref="V149:W149"/>
    <mergeCell ref="X149:Y149"/>
    <mergeCell ref="K149:N149"/>
    <mergeCell ref="K150:N150"/>
    <mergeCell ref="O150:Q150"/>
    <mergeCell ref="R150:S150"/>
    <mergeCell ref="T150:U150"/>
    <mergeCell ref="V150:W150"/>
    <mergeCell ref="X150:Y15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